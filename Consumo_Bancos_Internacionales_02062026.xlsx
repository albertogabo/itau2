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EI\Treasury Products &amp; International Financial Int\"/>
    </mc:Choice>
  </mc:AlternateContent>
  <xr:revisionPtr revIDLastSave="0" documentId="13_ncr:1_{A223BC5A-6359-4A56-9EAB-DD7B10A2CDC8}" xr6:coauthVersionLast="47" xr6:coauthVersionMax="47" xr10:uidLastSave="{00000000-0000-0000-0000-000000000000}"/>
  <bookViews>
    <workbookView xWindow="-120" yWindow="-120" windowWidth="29040" windowHeight="15720" xr2:uid="{1A5CCF87-C168-448A-8141-1F035AFD0E42}"/>
  </bookViews>
  <sheets>
    <sheet name="Consumo Bcos Colombia" sheetId="1" r:id="rId1"/>
    <sheet name="Consumo Bcos Panamá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Corte_Semana">[1]Parámetros!$J$6</definedName>
    <definedName name="Dias_Fw">#REF!</definedName>
    <definedName name="EURO">[1]Parámetros!$J$3</definedName>
    <definedName name="F_calc">#REF!</definedName>
    <definedName name="F_corte">[2]Inicio!$C$2</definedName>
    <definedName name="F_Reporte">#REF!</definedName>
    <definedName name="Fecha_control">[3]Cargue!$B$1</definedName>
    <definedName name="Fecha_Reporte">[1]Parámetros!$J$5</definedName>
    <definedName name="Fechamonitoreo">[4]Monitoreo!$B$10</definedName>
    <definedName name="FechaPreliminar">'[5]Consolidado CI'!$A$7</definedName>
    <definedName name="Fechareporte">[6]Consolidado!$B$7</definedName>
    <definedName name="fechareportelimites">[5]Consolidado!$A$7</definedName>
    <definedName name="fw">'[7]Curvas Kondor Verificación'!$IK$3</definedName>
    <definedName name="FW_RF">#REF!</definedName>
    <definedName name="GMF">#REF!</definedName>
    <definedName name="Gobierno">'[5]Parametros 1'!#REF!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"04/29/2013 13:47:22"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va">#REF!</definedName>
    <definedName name="Pegarvalores2">'[5]Consolidado CI'!#REF!</definedName>
    <definedName name="REC">#REF!</definedName>
    <definedName name="TRM">[1]Parámetros!$J$2</definedName>
    <definedName name="Trm_vig">#REF!</definedName>
    <definedName name="Variation_Margin">[8]Valoración!$F$4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Diana Catalina Guio Rozo</author>
  </authors>
  <commentList>
    <comment ref="E20" authorId="0" shapeId="0" xr:uid="{75C36E7F-EF9D-4344-9AE7-E42427A51B1B}">
      <text>
        <r>
          <rPr>
            <b/>
            <sz val="9"/>
            <color indexed="81"/>
            <rFont val="Tahoma"/>
            <family val="2"/>
          </rPr>
          <t>Nit duplicado en Solcred con Credit Agricole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6" authorId="0" shapeId="0" xr:uid="{BFBCA57B-2142-4484-9A71-CD072BB123A3}">
      <text>
        <r>
          <rPr>
            <b/>
            <sz val="9"/>
            <color indexed="81"/>
            <rFont val="Tahoma"/>
            <family val="2"/>
          </rPr>
          <t>Se debe revisar la aprobación ya que quedaron NC</t>
        </r>
      </text>
    </comment>
  </commentList>
</comments>
</file>

<file path=xl/sharedStrings.xml><?xml version="1.0" encoding="utf-8"?>
<sst xmlns="http://schemas.openxmlformats.org/spreadsheetml/2006/main" count="448" uniqueCount="80">
  <si>
    <t>Fecha Corte</t>
  </si>
  <si>
    <t>Intragrupo</t>
  </si>
  <si>
    <t>ID SFC</t>
  </si>
  <si>
    <t>ID Solcred</t>
  </si>
  <si>
    <t>Entidad</t>
  </si>
  <si>
    <t>País</t>
  </si>
  <si>
    <t>Vencimiento</t>
  </si>
  <si>
    <t>Cupo Trade &amp; Garantias</t>
  </si>
  <si>
    <t>Plazo Trade &amp; Garantias</t>
  </si>
  <si>
    <t>Consumo Trade &amp; Garantias</t>
  </si>
  <si>
    <t>Disponible Trade &amp; Garantias</t>
  </si>
  <si>
    <t>Cupo Gestão de Caixa</t>
  </si>
  <si>
    <t>Plazo Gestão de Caixa</t>
  </si>
  <si>
    <t>Consumo Gestão de Caixa</t>
  </si>
  <si>
    <t>Disponible Gestão de Caixa</t>
  </si>
  <si>
    <t>Cupo Derivativos</t>
  </si>
  <si>
    <t>Plazo Derivativos</t>
  </si>
  <si>
    <t>Consumo Derivativos</t>
  </si>
  <si>
    <t>Disponible Derivativos</t>
  </si>
  <si>
    <t>Cupo Bonds</t>
  </si>
  <si>
    <t>Plazo Bonds</t>
  </si>
  <si>
    <t>Consumo Bonds</t>
  </si>
  <si>
    <t>Disponible Bonds</t>
  </si>
  <si>
    <t>Cupo Spot</t>
  </si>
  <si>
    <t>Total Cupo</t>
  </si>
  <si>
    <t>Total Consumo</t>
  </si>
  <si>
    <t>Total Disponible</t>
  </si>
  <si>
    <t>OCDE</t>
  </si>
  <si>
    <t>RATING</t>
  </si>
  <si>
    <t>COMENTARIOS</t>
  </si>
  <si>
    <t>Trade &amp; Garantías USD 10 MM - 1080 días</t>
  </si>
  <si>
    <t>10 días / 10 años</t>
  </si>
  <si>
    <t>15 años</t>
  </si>
  <si>
    <t>Debajo de grado de inversión</t>
  </si>
  <si>
    <t>10 dias / 10 años</t>
  </si>
  <si>
    <t>10 dias /10 años</t>
  </si>
  <si>
    <t>Cupo Spot USD 5 MM (NC)</t>
  </si>
  <si>
    <t>10 años</t>
  </si>
  <si>
    <t>Incluye CNY</t>
  </si>
  <si>
    <t>T&amp;G USD 2 MM hasta 450d</t>
  </si>
  <si>
    <t>T&amp;G USD 150.000 hasta 750 d</t>
  </si>
  <si>
    <t>10 días / 12 años</t>
  </si>
  <si>
    <t>T&amp;G USD 15 MM hasta 1560 d</t>
  </si>
  <si>
    <t>10 dias /15 años</t>
  </si>
  <si>
    <t>10 dias/ 15 años</t>
  </si>
  <si>
    <t>10 días /15 años</t>
  </si>
  <si>
    <t>10 Años / 10 Días</t>
  </si>
  <si>
    <t>Multilateral</t>
  </si>
  <si>
    <t>10 dias / 15 años</t>
  </si>
  <si>
    <t>Aplicación Caja diferente a Saldos Corresponsales: Col y Pan USD 5 MM c/u</t>
  </si>
  <si>
    <t>90 días / 15 años</t>
  </si>
  <si>
    <t>3 años</t>
  </si>
  <si>
    <t>T&amp;G  USD 11 MM a 61 meses (Ald Automotive)</t>
  </si>
  <si>
    <t>10 Años</t>
  </si>
  <si>
    <t>10 días/2 años</t>
  </si>
  <si>
    <t>Requerido para Saldos Corresponsales</t>
  </si>
  <si>
    <t xml:space="preserve">Aplicaciones de Caja 30 MM </t>
  </si>
  <si>
    <t>No Aplica</t>
  </si>
  <si>
    <t>Si</t>
  </si>
  <si>
    <t>A+</t>
  </si>
  <si>
    <t>A</t>
  </si>
  <si>
    <t>A-</t>
  </si>
  <si>
    <t>No</t>
  </si>
  <si>
    <t>BB+</t>
  </si>
  <si>
    <t>BB</t>
  </si>
  <si>
    <t>Revisar</t>
  </si>
  <si>
    <t>AA-</t>
  </si>
  <si>
    <t>BBB+</t>
  </si>
  <si>
    <t>Emiratos Arabes Unidos</t>
  </si>
  <si>
    <t>BBB</t>
  </si>
  <si>
    <t>Sin Calificación</t>
  </si>
  <si>
    <t>AAA</t>
  </si>
  <si>
    <t>A1</t>
  </si>
  <si>
    <t>A3</t>
  </si>
  <si>
    <t>BBB-</t>
  </si>
  <si>
    <t>Baa3</t>
  </si>
  <si>
    <t>Baa2</t>
  </si>
  <si>
    <t>AA+</t>
  </si>
  <si>
    <t>Baa1</t>
  </si>
  <si>
    <t>BB-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</si>
</sst>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dd/mm/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Itau Display Pro"/>
      <family val="2"/>
    </font>
    <font>
      <sz val="9"/>
      <name val="Itau Display Pro"/>
      <family val="2"/>
    </font>
    <font>
      <b/>
      <sz val="9"/>
      <color theme="1"/>
      <name val="Itau Display Pro"/>
      <family val="2"/>
    </font>
    <font>
      <sz val="9"/>
      <color rgb="FF000000"/>
      <name val="Itau Display Pro"/>
      <family val="2"/>
    </font>
    <font>
      <b/>
      <sz val="9"/>
      <color rgb="FF000000"/>
      <name val="Itau Display Pro"/>
      <family val="2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39">
    <xf numFmtId="0" fontId="0" fillId="0" borderId="0" xfId="0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165" fontId="2" fillId="2" borderId="0" xfId="1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5" fontId="3" fillId="5" borderId="0" xfId="1" applyNumberFormat="1" applyFont="1" applyFill="1" applyAlignment="1">
      <alignment horizontal="center" vertical="center"/>
    </xf>
    <xf numFmtId="165" fontId="2" fillId="4" borderId="0" xfId="1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4" fontId="5" fillId="0" borderId="0" xfId="0" applyNumberFormat="1" applyFont="1"/>
    <xf numFmtId="0" fontId="5" fillId="0" borderId="0" xfId="0" applyFont="1"/>
    <xf numFmtId="0" fontId="2" fillId="0" borderId="0" xfId="1" applyNumberFormat="1" applyFont="1" applyAlignment="1">
      <alignment horizontal="right"/>
    </xf>
    <xf numFmtId="0" fontId="2" fillId="0" borderId="0" xfId="1" applyNumberFormat="1" applyFont="1"/>
    <xf numFmtId="0" fontId="2" fillId="0" borderId="0" xfId="0" applyFont="1"/>
    <xf numFmtId="165" fontId="5" fillId="0" borderId="0" xfId="1" applyNumberFormat="1" applyFont="1"/>
    <xf numFmtId="0" fontId="5" fillId="0" borderId="0" xfId="0" applyFont="1" applyAlignment="1">
      <alignment horizontal="center"/>
    </xf>
    <xf numFmtId="165" fontId="6" fillId="0" borderId="0" xfId="0" applyNumberFormat="1" applyFont="1"/>
    <xf numFmtId="165" fontId="5" fillId="0" borderId="0" xfId="0" applyNumberFormat="1" applyFont="1"/>
    <xf numFmtId="165" fontId="5" fillId="0" borderId="0" xfId="1" applyNumberFormat="1" applyFont="1" applyFill="1"/>
    <xf numFmtId="165" fontId="5" fillId="0" borderId="0" xfId="1" quotePrefix="1" applyNumberFormat="1" applyFont="1"/>
    <xf numFmtId="165" fontId="5" fillId="0" borderId="0" xfId="1" applyNumberFormat="1" applyFont="1" applyAlignment="1">
      <alignment horizontal="center" vertical="center"/>
    </xf>
    <xf numFmtId="0" fontId="2" fillId="0" borderId="0" xfId="1" applyNumberFormat="1" applyFont="1" applyAlignment="1">
      <alignment horizontal="right" shrinkToFit="1"/>
    </xf>
    <xf numFmtId="0" fontId="2" fillId="0" borderId="0" xfId="1" applyNumberFormat="1" applyFont="1" applyAlignment="1">
      <alignment shrinkToFit="1"/>
    </xf>
    <xf numFmtId="0" fontId="2" fillId="0" borderId="0" xfId="3" applyFont="1" applyAlignment="1">
      <alignment shrinkToFit="1"/>
    </xf>
    <xf numFmtId="166" fontId="5" fillId="0" borderId="0" xfId="0" applyNumberFormat="1" applyFont="1"/>
    <xf numFmtId="0" fontId="2" fillId="0" borderId="0" xfId="1" quotePrefix="1" applyNumberFormat="1" applyFont="1"/>
    <xf numFmtId="14" fontId="2" fillId="0" borderId="0" xfId="0" applyNumberFormat="1" applyFont="1"/>
    <xf numFmtId="0" fontId="0" fillId="0" borderId="0" xfId="0" applyAlignment="1">
      <alignment horizontal="right"/>
    </xf>
    <xf numFmtId="165" fontId="2" fillId="0" borderId="0" xfId="1" applyNumberFormat="1" applyFont="1"/>
    <xf numFmtId="0" fontId="2" fillId="0" borderId="0" xfId="0" applyFont="1" applyAlignment="1">
      <alignment horizontal="center"/>
    </xf>
    <xf numFmtId="165" fontId="0" fillId="0" borderId="0" xfId="1" applyNumberFormat="1" applyFont="1"/>
    <xf numFmtId="0" fontId="4" fillId="0" borderId="0" xfId="0" applyFont="1"/>
    <xf numFmtId="0" fontId="2" fillId="0" borderId="0" xfId="0" applyFont="1" applyAlignment="1">
      <alignment horizontal="right"/>
    </xf>
    <xf numFmtId="164" fontId="2" fillId="0" borderId="0" xfId="1" applyFont="1"/>
    <xf numFmtId="165" fontId="2" fillId="0" borderId="0" xfId="1" applyNumberFormat="1" applyFont="1" applyAlignment="1">
      <alignment horizontal="center" vertical="center"/>
    </xf>
    <xf numFmtId="0" fontId="5" fillId="0" borderId="0" xfId="1" applyNumberFormat="1" applyFont="1"/>
    <xf numFmtId="10" fontId="2" fillId="0" borderId="0" xfId="2" applyNumberFormat="1" applyFont="1"/>
  </cellXfs>
  <cellStyles count="4">
    <cellStyle name="Millares" xfId="1" builtinId="3"/>
    <cellStyle name="Normal" xfId="0" builtinId="0"/>
    <cellStyle name="Normal 2" xfId="3" xr:uid="{EFCAC282-2E9F-45AC-985F-BFCDEF2CB35A}"/>
    <cellStyle name="Porcentaje" xfId="2" builtinId="5"/>
  </cellStyles>
  <dxfs count="66">
    <dxf>
      <fill>
        <gradientFill>
          <stop position="0">
            <color theme="0"/>
          </stop>
          <stop position="1">
            <color theme="5"/>
          </stop>
        </gradient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8E0700"/>
      </font>
      <fill>
        <patternFill>
          <bgColor theme="5" tint="0.59996337778862885"/>
        </patternFill>
      </fill>
    </dxf>
    <dxf>
      <fill>
        <gradientFill>
          <stop position="0">
            <color theme="0"/>
          </stop>
          <stop position="1">
            <color rgb="FFF19D69"/>
          </stop>
        </gradient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8E0700"/>
      </font>
      <fill>
        <patternFill>
          <bgColor theme="5" tint="0.59996337778862885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5" formatCode="_(* #,##0_);_(* \(#,##0\);_(* &quot;-&quot;??_);_(@_)"/>
    </dxf>
    <dxf>
      <font>
        <strike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5" formatCode="_(* #,##0_);_(* \(#,##0\);_(* &quot;-&quot;??_);_(@_)"/>
    </dxf>
    <dxf>
      <font>
        <b/>
        <strike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7" formatCode="m/d/yyyy"/>
    </dxf>
    <dxf>
      <font>
        <strike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5" formatCode="_(* #,##0_);_(* \(#,##0\);_(* &quot;-&quot;??_);_(@_)"/>
    </dxf>
    <dxf>
      <font>
        <strike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7" formatCode="m/d/yyyy"/>
    </dxf>
    <dxf>
      <font>
        <strike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Itau Display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Itau Display Pro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Itau Display Pro"/>
        <family val="2"/>
        <scheme val="none"/>
      </font>
      <numFmt numFmtId="0" formatCode="General"/>
      <alignment horizontal="right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7" formatCode="m/d/yyyy"/>
    </dxf>
    <dxf>
      <font>
        <strike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Itau Display Pr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5" formatCode="_(* #,##0_);_(* \(#,##0\);_(* &quot;-&quot;??_);_(@_)"/>
    </dxf>
    <dxf>
      <font>
        <strike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5" formatCode="_(* #,##0_);_(* \(#,##0\);_(* &quot;-&quot;??_);_(@_)"/>
    </dxf>
    <dxf>
      <font>
        <b/>
        <strike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7" formatCode="m/d/yyyy"/>
    </dxf>
    <dxf>
      <font>
        <strike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5" formatCode="_(* #,##0_);_(* \(#,##0\);_(* &quot;-&quot;??_);_(@_)"/>
    </dxf>
    <dxf>
      <font>
        <strike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7" formatCode="m/d/yyyy"/>
    </dxf>
    <dxf>
      <font>
        <strike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Itau Display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Itau Display Pro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Itau Display Pro"/>
        <family val="2"/>
        <scheme val="none"/>
      </font>
      <numFmt numFmtId="0" formatCode="General"/>
      <alignment horizontal="right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  <numFmt numFmtId="167" formatCode="m/d/yyyy"/>
    </dxf>
    <dxf>
      <font>
        <strike val="0"/>
        <outline val="0"/>
        <shadow val="0"/>
        <u val="none"/>
        <vertAlign val="baseline"/>
        <sz val="9"/>
        <color rgb="FF000000"/>
        <name val="Itau Display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Itau Display Pro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1.%20Ita&#250;%20Banco\5.%20Riesgo%20Pa&#237;s\0.%20Macros\Reporte%20Riesgo%20Pa&#237;s%20y%20Bancos%20Internacionales.xlsm" TargetMode="External"/><Relationship Id="rId1" Type="http://schemas.openxmlformats.org/officeDocument/2006/relationships/externalLinkPath" Target="file:///Y:\1.%20Ita&#250;%20Banco\5.%20Riesgo%20Pa&#237;s\0.%20Macros\Reporte%20Riesgo%20Pa&#237;s%20y%20Bancos%20Internacionales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1.%20Ita&#250;%20Banco\2.%20Exposicion%20Modelo%20Interno\0.%20Macros\1.%20Macro%20Consolida%20Archivo%20L&#237;mites.xlsm" TargetMode="External"/><Relationship Id="rId1" Type="http://schemas.openxmlformats.org/officeDocument/2006/relationships/externalLinkPath" Target="file:///Y:\1.%20Ita&#250;%20Banco\2.%20Exposicion%20Modelo%20Interno\0.%20Macros\1.%20Macro%20Consolida%20Archivo%20L&#237;mites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6.Derivados%20y%20Saldos%20ICB%20-%20IAM\Monitor%20Derivados%20ICB.xlsm" TargetMode="External"/><Relationship Id="rId1" Type="http://schemas.openxmlformats.org/officeDocument/2006/relationships/externalLinkPath" Target="file:///Z:\6.Derivados%20y%20Saldos%20ICB%20-%20IAM\Monitor%20Derivados%20ICB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infiler\HCRiesgo\Riesgo%20de%20Credito\9.Contrapartes%20Panama\Monitoreo%20Contrapartes%20ICVP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2.Limites%20de%20Concentraci&#243;n\1.%20Evaluacion%20de%20Limites%20Credito%20OYD.xlsm" TargetMode="External"/><Relationship Id="rId1" Type="http://schemas.openxmlformats.org/officeDocument/2006/relationships/externalLinkPath" Target="file:///Z:\2.Limites%20de%20Concentraci&#243;n\1.%20Evaluacion%20de%20Limites%20Credito%20OYD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infiler\HCRiesgo\Riesgo%20de%20Credito\1.Informe%20de%20repos\Monitoreo%20Operaciones%20CRCC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Ingenieria_Financiera\Validacion_Valoracion\2018\Curvas%20Kondor%20_K+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iduciaria\10.%20Comisionista\Control%20DerivadosV2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ámetros"/>
      <sheetName val="Consolidado"/>
      <sheetName val="Correo"/>
      <sheetName val="Consumos"/>
      <sheetName val="Consumo Bcos Colombia"/>
      <sheetName val="Consumo Bcos Panamá"/>
      <sheetName val="Bancos Internal"/>
      <sheetName val="Derivados"/>
      <sheetName val="StandBy"/>
      <sheetName val="Standby PAN (2)"/>
      <sheetName val="Standby PAN"/>
      <sheetName val="Cartera"/>
      <sheetName val="Soberano"/>
      <sheetName val="Panamá"/>
      <sheetName val="Corresponsales"/>
      <sheetName val="Overnights"/>
      <sheetName val="Interbancarios"/>
      <sheetName val="Bonos"/>
      <sheetName val="LC EXPO"/>
      <sheetName val="Inventario"/>
      <sheetName val="Compensación"/>
      <sheetName val="Template"/>
    </sheetNames>
    <sheetDataSet>
      <sheetData sheetId="0">
        <row r="2">
          <cell r="J2">
            <v>3562</v>
          </cell>
        </row>
        <row r="3">
          <cell r="J3">
            <v>1.1649</v>
          </cell>
        </row>
        <row r="5">
          <cell r="J5">
            <v>46175</v>
          </cell>
        </row>
        <row r="6">
          <cell r="J6">
            <v>46171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áfico1"/>
      <sheetName val="Inicio"/>
      <sheetName val="Risk Matrix Factors"/>
      <sheetName val="Cupos IT"/>
      <sheetName val="Consolidado"/>
      <sheetName val="Control Versiones"/>
      <sheetName val="Cupos Kondor"/>
      <sheetName val="Cupos Helm"/>
    </sheetNames>
    <sheetDataSet>
      <sheetData sheetId="0" refreshError="1"/>
      <sheetData sheetId="1">
        <row r="2">
          <cell r="C2"/>
        </row>
      </sheetData>
      <sheetData sheetId="2" refreshError="1"/>
      <sheetData sheetId="3">
        <row r="1">
          <cell r="A1" t="str">
            <v>Identificación</v>
          </cell>
        </row>
      </sheetData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gue"/>
      <sheetName val="Parametros"/>
      <sheetName val="PDF"/>
      <sheetName val="Archivos CRCC"/>
      <sheetName val="Archivos Saldos"/>
      <sheetName val="Límites"/>
      <sheetName val="Correo"/>
      <sheetName val="Monitor Derivados ICB"/>
    </sheetNames>
    <sheetDataSet>
      <sheetData sheetId="0">
        <row r="1">
          <cell r="B1">
            <v>46162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itoreo"/>
      <sheetName val="Reporte"/>
      <sheetName val="Resumen"/>
      <sheetName val="Reporte Transacciones"/>
      <sheetName val="Limits Browser"/>
      <sheetName val="Parametros"/>
    </sheetNames>
    <sheetDataSet>
      <sheetData sheetId="0" refreshError="1">
        <row r="10">
          <cell r="B10">
            <v>43312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rme de Limites"/>
      <sheetName val="PDF"/>
      <sheetName val="Correo"/>
      <sheetName val="Portafolios OYD"/>
      <sheetName val="Balance"/>
      <sheetName val="Consolidado"/>
      <sheetName val="Titu"/>
      <sheetName val="Titulos Permitidos PP"/>
      <sheetName val="Apetito"/>
      <sheetName val="Parametros 1"/>
      <sheetName val="Control Intraday"/>
      <sheetName val="PDFIntraday"/>
      <sheetName val="Portafolios CI"/>
      <sheetName val="Consolidado CI"/>
      <sheetName val="TRM"/>
      <sheetName val="Rutas"/>
      <sheetName val="Hoja3"/>
    </sheetNames>
    <sheetDataSet>
      <sheetData sheetId="0">
        <row r="13">
          <cell r="B13">
            <v>50985873528</v>
          </cell>
        </row>
      </sheetData>
      <sheetData sheetId="1"/>
      <sheetData sheetId="2"/>
      <sheetData sheetId="3"/>
      <sheetData sheetId="4"/>
      <sheetData sheetId="5">
        <row r="7">
          <cell r="A7">
            <v>45666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>
        <row r="7">
          <cell r="A7">
            <v>45667</v>
          </cell>
        </row>
      </sheetData>
      <sheetData sheetId="14">
        <row r="4">
          <cell r="C4">
            <v>3628.2</v>
          </cell>
        </row>
      </sheetData>
      <sheetData sheetId="15">
        <row r="1">
          <cell r="B1">
            <v>45659</v>
          </cell>
        </row>
      </sheetData>
      <sheetData sheetId="1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Reporte"/>
      <sheetName val="Consolidado"/>
      <sheetName val="Info Mec"/>
      <sheetName val="Saldo Repos"/>
      <sheetName val="Derivados"/>
      <sheetName val="Inf Mercado"/>
      <sheetName val="Parametros"/>
      <sheetName val="Cambio de Mes"/>
    </sheetNames>
    <sheetDataSet>
      <sheetData sheetId="0"/>
      <sheetData sheetId="1"/>
      <sheetData sheetId="2">
        <row r="7">
          <cell r="B7">
            <v>43462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vas Infovalmer"/>
      <sheetName val="1.-Curvas Kondor"/>
      <sheetName val="2.-Subir Curvas"/>
      <sheetName val="Curvas Kondor Verificación"/>
      <sheetName val="Fwd_USDCOP_Diaria"/>
      <sheetName val="Matriz_TC"/>
      <sheetName val="3.-Tasas de Cambio"/>
      <sheetName val="Instrucciones"/>
    </sheetNames>
    <sheetDataSet>
      <sheetData sheetId="0">
        <row r="3">
          <cell r="P3">
            <v>43249</v>
          </cell>
        </row>
      </sheetData>
      <sheetData sheetId="1" refreshError="1"/>
      <sheetData sheetId="2" refreshError="1"/>
      <sheetData sheetId="3">
        <row r="3">
          <cell r="IK3" t="e">
            <v>#VALUE!</v>
          </cell>
        </row>
      </sheetData>
      <sheetData sheetId="4" refreshError="1"/>
      <sheetData sheetId="5">
        <row r="2">
          <cell r="C2">
            <v>2832.13</v>
          </cell>
        </row>
      </sheetData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ú"/>
      <sheetName val="Insumos"/>
      <sheetName val="Valoración"/>
      <sheetName val="Historico"/>
    </sheetNames>
    <sheetDataSet>
      <sheetData sheetId="0"/>
      <sheetData sheetId="1"/>
      <sheetData sheetId="2">
        <row r="4">
          <cell r="F4">
            <v>-87828500.000000924</v>
          </cell>
        </row>
      </sheetData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F2FFA2-B675-4402-80DD-D265A8A77A1F}" name="BancosInter2021" displayName="BancosInter2021" ref="A1:AD72" totalsRowShown="0" headerRowDxfId="65" dataDxfId="64">
  <autoFilter ref="A1:AD72" xr:uid="{18B2CB60-9B37-4C35-83A2-2E3AD0053774}"/>
  <tableColumns count="30">
    <tableColumn id="14" xr3:uid="{8CE181C9-21CC-4D22-A60E-5F7669C83059}" name="Fecha Corte" dataDxfId="63"/>
    <tableColumn id="9" xr3:uid="{7A263B0E-C521-458F-82FE-A6342DED385B}" name="Intragrupo" dataDxfId="62"/>
    <tableColumn id="10" xr3:uid="{E3169BFB-16B4-4FB5-BC3D-63303039D4B4}" name="ID SFC" dataDxfId="61" dataCellStyle="Millares"/>
    <tableColumn id="11" xr3:uid="{3D9AA66B-E451-4434-BA2C-21777883B28C}" name="ID Solcred" dataDxfId="60" dataCellStyle="Millares"/>
    <tableColumn id="1" xr3:uid="{ED27C101-A4BC-4DA2-A702-8AFC78E0AF3D}" name="Entidad" dataDxfId="59"/>
    <tableColumn id="12" xr3:uid="{0A1776C0-3636-430F-BF44-8647D403EDD1}" name="País" dataDxfId="58"/>
    <tableColumn id="13" xr3:uid="{4F544445-838B-4274-9656-A95139A16962}" name="Vencimiento" dataDxfId="57"/>
    <tableColumn id="20" xr3:uid="{84EE6343-BC2C-4F08-9778-D13BD162AFE5}" name="Cupo Trade &amp; Garantias" dataDxfId="56" dataCellStyle="Millares"/>
    <tableColumn id="31" xr3:uid="{DD646A1D-A1C9-47C8-81E4-E8A5709A01BE}" name="Plazo Trade &amp; Garantias" dataDxfId="55"/>
    <tableColumn id="32" xr3:uid="{5C4E9C7B-DD60-4DD0-B6D0-321964365E42}" name="Consumo Trade &amp; Garantias" dataDxfId="54" dataCellStyle="Millares"/>
    <tableColumn id="33" xr3:uid="{D0E5F74F-C4D2-4DA7-99EE-D4A8972E91A3}" name="Disponible Trade &amp; Garantias" dataDxfId="53" dataCellStyle="Millares"/>
    <tableColumn id="18" xr3:uid="{35147981-B0F2-4500-903A-F1A2EA333AE0}" name="Cupo Gestão de Caixa" dataDxfId="52" dataCellStyle="Millares"/>
    <tableColumn id="24" xr3:uid="{46753B8D-0FBD-4FD9-978F-97AE66519268}" name="Plazo Gestão de Caixa" dataDxfId="51"/>
    <tableColumn id="25" xr3:uid="{9ACEBF90-3C47-49A7-90B7-0CD9CB869DE2}" name="Consumo Gestão de Caixa" dataDxfId="50" dataCellStyle="Millares"/>
    <tableColumn id="27" xr3:uid="{169EBFD6-B3A9-4975-BD1A-A4E1BD9A7F8E}" name="Disponible Gestão de Caixa" dataDxfId="49" dataCellStyle="Millares"/>
    <tableColumn id="19" xr3:uid="{D10D3108-89CA-4A85-9FDD-D7DB6C3B6770}" name="Cupo Derivativos" dataDxfId="48" dataCellStyle="Millares"/>
    <tableColumn id="28" xr3:uid="{CC45F47A-3C67-4593-A923-4724D797BE80}" name="Plazo Derivativos" dataDxfId="47"/>
    <tableColumn id="29" xr3:uid="{F007FA98-0601-4D2E-AD3E-7BCDDC08858B}" name="Consumo Derivativos" dataDxfId="46" dataCellStyle="Millares"/>
    <tableColumn id="30" xr3:uid="{AD8095AE-1E2D-4F05-B795-717D8476F23D}" name="Disponible Derivativos" dataDxfId="45" dataCellStyle="Millares"/>
    <tableColumn id="21" xr3:uid="{5AC26AB4-4FE7-4A7B-A178-E05E62CD9862}" name="Cupo Bonds" dataDxfId="44" dataCellStyle="Millares"/>
    <tableColumn id="34" xr3:uid="{C9215AD5-8AB7-4FD6-AC0C-F5FAB017C746}" name="Plazo Bonds" dataDxfId="43"/>
    <tableColumn id="35" xr3:uid="{739E3DF2-490C-48D9-8CB4-B1A4D2EA96D3}" name="Consumo Bonds" dataDxfId="42"/>
    <tableColumn id="36" xr3:uid="{2FC29FBD-B93F-4338-8566-8B91AB3C1A79}" name="Disponible Bonds" dataDxfId="41" dataCellStyle="Millares"/>
    <tableColumn id="2" xr3:uid="{9A573EFD-46DA-4E2D-880F-5546727F1EAA}" name="Cupo Spot" dataDxfId="40" dataCellStyle="Millares"/>
    <tableColumn id="6" xr3:uid="{68A5C6B1-9054-4D49-B08E-4D94F041D63C}" name="Total Cupo" dataDxfId="39"/>
    <tableColumn id="3" xr3:uid="{F1FDD748-F55A-49D4-B2EB-90CCAB7DAAFD}" name="Total Consumo" dataDxfId="38"/>
    <tableColumn id="4" xr3:uid="{ECAE3DA7-8630-4A78-9B34-3B5ECAE963CD}" name="Total Disponible" dataDxfId="37"/>
    <tableColumn id="5" xr3:uid="{97965168-0A56-40BD-AC56-E6047D663CA2}" name="OCDE" dataDxfId="36"/>
    <tableColumn id="7" xr3:uid="{BAB0EF9B-71B8-45F1-A4A4-2B121C1A5062}" name="RATING" dataDxfId="35"/>
    <tableColumn id="8" xr3:uid="{0121B7A3-EF65-4F59-A70A-877A62F45984}" name="COMENTARIOS" dataDxfId="34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46ECFA-9B3C-4DE0-87F9-4561CB2D6113}" name="BancosInter202122" displayName="BancosInter202122" ref="A1:Z47" totalsRowShown="0" headerRowDxfId="33" dataDxfId="32">
  <autoFilter ref="A1:Z47" xr:uid="{00000000-0009-0000-0100-000004000000}"/>
  <tableColumns count="26">
    <tableColumn id="14" xr3:uid="{14E6CDBF-88FD-4C17-BEA1-1B34ABC9AA09}" name="Fecha Corte" dataDxfId="31"/>
    <tableColumn id="9" xr3:uid="{53D71354-8E78-460E-BC67-85217157A9A9}" name="Intragrupo" dataDxfId="30"/>
    <tableColumn id="10" xr3:uid="{E8BEE43E-4CF8-4284-818B-17CAF22B5581}" name="ID SFC" dataDxfId="29" dataCellStyle="Millares"/>
    <tableColumn id="11" xr3:uid="{F3A07DBD-359A-4AD7-A1DB-1614A43D740C}" name="ID Solcred" dataDxfId="28" dataCellStyle="Millares"/>
    <tableColumn id="1" xr3:uid="{47F2594E-8049-49D8-9B23-9225CFD5E3CD}" name="Entidad" dataDxfId="27"/>
    <tableColumn id="12" xr3:uid="{5653EDB7-E74D-4B93-B9F9-9DAE28F5B42C}" name="País" dataDxfId="26"/>
    <tableColumn id="13" xr3:uid="{B1A70AA8-BA3E-4764-B451-335EF468F6D5}" name="Vencimiento" dataDxfId="25"/>
    <tableColumn id="20" xr3:uid="{50B1830E-DCC5-4849-A18B-6D3720C85B1A}" name="Cupo Trade &amp; Garantias" dataDxfId="24" dataCellStyle="Millares"/>
    <tableColumn id="31" xr3:uid="{64F781A4-3F1B-4DB0-B639-78549D3C4F5B}" name="Plazo Trade &amp; Garantias" dataDxfId="23"/>
    <tableColumn id="32" xr3:uid="{77D06AA4-FFFD-4845-BBD8-FEA783E839CE}" name="Consumo Trade &amp; Garantias" dataDxfId="22" dataCellStyle="Millares"/>
    <tableColumn id="33" xr3:uid="{F9CE8183-C933-4DCC-AE1F-6C441E76D578}" name="Disponible Trade &amp; Garantias" dataDxfId="21" dataCellStyle="Millares"/>
    <tableColumn id="18" xr3:uid="{B706F666-D443-41D1-BDFA-A92902D07BFD}" name="Cupo Gestão de Caixa" dataDxfId="20" dataCellStyle="Millares"/>
    <tableColumn id="24" xr3:uid="{1AC29A07-3232-4926-ABB2-A49C31827B72}" name="Plazo Gestão de Caixa" dataDxfId="19"/>
    <tableColumn id="25" xr3:uid="{8CFADD7D-BAAE-4300-8A20-A62BE9ADD42E}" name="Consumo Gestão de Caixa" dataDxfId="18" dataCellStyle="Millares"/>
    <tableColumn id="27" xr3:uid="{39D4D4E0-A220-47B2-A8F6-F56CB5F7F92F}" name="Disponible Gestão de Caixa" dataDxfId="17" dataCellStyle="Millares"/>
    <tableColumn id="21" xr3:uid="{251B49AC-6962-4A55-B943-341C1ADDF945}" name="Cupo Bonds" dataDxfId="16" dataCellStyle="Millares"/>
    <tableColumn id="34" xr3:uid="{587C1AFB-32DB-4834-8B35-C6254F07C018}" name="Plazo Bonds" dataDxfId="15"/>
    <tableColumn id="35" xr3:uid="{2F07A631-9B39-4229-8388-CA35AF3C25E5}" name="Consumo Bonds" dataDxfId="14" dataCellStyle="Millares"/>
    <tableColumn id="36" xr3:uid="{1B6D348C-BDE0-4DDE-B85B-36F21F06246B}" name="Disponible Bonds" dataDxfId="13" dataCellStyle="Millares"/>
    <tableColumn id="2" xr3:uid="{0F9F2E9B-5E6C-47FE-BEDB-31AF2558E58F}" name="Cupo Spot" dataDxfId="12" dataCellStyle="Millares"/>
    <tableColumn id="3" xr3:uid="{370F4F63-ED87-45CC-A1A4-B96B77F58A3B}" name="Total Cupo" dataDxfId="11"/>
    <tableColumn id="4" xr3:uid="{F20A2DB5-DD0A-48FB-93BA-36DAE8A13512}" name="Total Consumo" dataDxfId="10" dataCellStyle="Millares"/>
    <tableColumn id="5" xr3:uid="{A20DEB1F-5859-44DD-9677-0AFCAB8CBBD3}" name="Total Disponible" dataDxfId="9"/>
    <tableColumn id="6" xr3:uid="{E9F71EA6-16BA-438B-A0B7-01377BF2F9E7}" name="OCDE" dataDxfId="8"/>
    <tableColumn id="7" xr3:uid="{CD78B7F5-243C-4570-9106-27B0FB35FF2F}" name="RATING" dataDxfId="7"/>
    <tableColumn id="8" xr3:uid="{9B248B88-E1FD-4961-9E10-6704D72A1056}" name="COMENTARIOS" dataDxfId="6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9BC5-E52F-4EAE-A02F-979DEC6AD7F5}">
  <sheetPr codeName="Hoja13"/>
  <dimension ref="A1:AH169"/>
  <sheetViews>
    <sheetView showGridLines="0" tabSelected="1" zoomScale="110" zoomScaleNormal="110" workbookViewId="0">
      <pane xSplit="7" ySplit="1" topLeftCell="H2" activePane="bottomRight" state="frozen"/>
      <selection activeCell="H28" sqref="H28"/>
      <selection pane="topRight" activeCell="H28" sqref="H28"/>
      <selection pane="bottomLeft" activeCell="H28" sqref="H28"/>
      <selection pane="bottomRight" activeCell="E12" sqref="E12"/>
    </sheetView>
  </sheetViews>
  <sheetFormatPr baseColWidth="10" defaultColWidth="11.42578125" defaultRowHeight="15" x14ac:dyDescent="0.25"/>
  <cols>
    <col min="1" max="1" width="11.42578125" style="28"/>
    <col min="2" max="2" width="11.42578125" style="15"/>
    <col min="3" max="3" width="9.5703125" style="34" bestFit="1" customWidth="1"/>
    <col min="4" max="4" width="13.5703125" style="15" bestFit="1" customWidth="1"/>
    <col min="5" max="5" width="29.42578125" style="35" bestFit="1" customWidth="1"/>
    <col min="6" max="6" width="18.140625" style="35" bestFit="1" customWidth="1"/>
    <col min="7" max="7" width="11.42578125" style="28" customWidth="1"/>
    <col min="8" max="8" width="21.85546875" style="30" bestFit="1" customWidth="1"/>
    <col min="9" max="10" width="21.85546875" style="15" customWidth="1"/>
    <col min="11" max="11" width="29.140625" style="30" bestFit="1" customWidth="1"/>
    <col min="12" max="12" width="17.85546875" style="15" bestFit="1" customWidth="1"/>
    <col min="13" max="13" width="17.85546875" style="15" customWidth="1"/>
    <col min="14" max="14" width="27.28515625" style="30" bestFit="1" customWidth="1"/>
    <col min="15" max="15" width="17.85546875" style="15" customWidth="1"/>
    <col min="16" max="16" width="20.28515625" style="30" bestFit="1" customWidth="1"/>
    <col min="17" max="17" width="20.28515625" style="15" customWidth="1"/>
    <col min="18" max="19" width="20.28515625" style="30" customWidth="1"/>
    <col min="20" max="20" width="16.5703125" style="30" bestFit="1" customWidth="1"/>
    <col min="21" max="21" width="16.5703125" style="31" customWidth="1"/>
    <col min="22" max="22" width="16.5703125" style="15" customWidth="1"/>
    <col min="23" max="23" width="16.5703125" style="30" customWidth="1"/>
    <col min="24" max="24" width="11.5703125" style="32" customWidth="1"/>
    <col min="25" max="25" width="14.7109375" bestFit="1" customWidth="1"/>
    <col min="26" max="26" width="11.5703125" customWidth="1"/>
    <col min="27" max="27" width="11.5703125" style="32" customWidth="1"/>
    <col min="28" max="28" width="9.85546875" style="30" bestFit="1" customWidth="1"/>
    <col min="29" max="29" width="12.85546875" style="33" bestFit="1" customWidth="1"/>
    <col min="30" max="30" width="58.7109375" style="15" bestFit="1" customWidth="1"/>
    <col min="31" max="16384" width="11.42578125" style="15"/>
  </cols>
  <sheetData>
    <row r="1" spans="1:34" s="10" customFormat="1" ht="13.5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4" t="s">
        <v>11</v>
      </c>
      <c r="M1" s="5" t="s">
        <v>12</v>
      </c>
      <c r="N1" s="8" t="s">
        <v>13</v>
      </c>
      <c r="O1" s="7" t="s">
        <v>14</v>
      </c>
      <c r="P1" s="4" t="s">
        <v>15</v>
      </c>
      <c r="Q1" s="5" t="s">
        <v>16</v>
      </c>
      <c r="R1" s="8" t="s">
        <v>17</v>
      </c>
      <c r="S1" s="7" t="s">
        <v>18</v>
      </c>
      <c r="T1" s="4" t="s">
        <v>19</v>
      </c>
      <c r="U1" s="5" t="s">
        <v>20</v>
      </c>
      <c r="V1" s="6" t="s">
        <v>21</v>
      </c>
      <c r="W1" s="7" t="s">
        <v>22</v>
      </c>
      <c r="X1" s="4" t="s">
        <v>23</v>
      </c>
      <c r="Y1" s="9" t="s">
        <v>24</v>
      </c>
      <c r="Z1" s="2" t="s">
        <v>25</v>
      </c>
      <c r="AA1" s="2" t="s">
        <v>26</v>
      </c>
      <c r="AB1" s="5" t="s">
        <v>27</v>
      </c>
      <c r="AC1" s="5" t="s">
        <v>28</v>
      </c>
      <c r="AD1" s="5" t="s">
        <v>29</v>
      </c>
    </row>
    <row r="2" spans="1:34" ht="13.5" x14ac:dyDescent="0.25">
      <c r="A2" s="11">
        <v>46175</v>
      </c>
      <c r="B2" s="12" t="s">
        <v>57</v>
      </c>
      <c r="C2" s="13"/>
      <c r="D2" s="14">
        <v>4333</v>
      </c>
      <c r="E2" s="15"/>
      <c r="F2" s="12">
        <v>102</v>
      </c>
      <c r="G2" s="11">
        <v>46203</v>
      </c>
      <c r="H2" s="16">
        <v>3000000</v>
      </c>
      <c r="I2" s="12">
        <v>390</v>
      </c>
      <c r="J2" s="16">
        <v>0</v>
      </c>
      <c r="K2" s="16">
        <v>3000000</v>
      </c>
      <c r="L2" s="16"/>
      <c r="M2" s="12"/>
      <c r="N2" s="16">
        <v>0</v>
      </c>
      <c r="O2" s="16">
        <v>0</v>
      </c>
      <c r="P2" s="16"/>
      <c r="Q2" s="17"/>
      <c r="R2" s="16">
        <v>0</v>
      </c>
      <c r="S2" s="16">
        <v>0</v>
      </c>
      <c r="T2" s="16"/>
      <c r="U2" s="12"/>
      <c r="V2" s="12"/>
      <c r="W2" s="16">
        <v>0</v>
      </c>
      <c r="X2" s="16"/>
      <c r="Y2" s="18">
        <v>3000000</v>
      </c>
      <c r="Z2" s="19">
        <v>0</v>
      </c>
      <c r="AA2" s="19">
        <v>3000000</v>
      </c>
      <c r="AB2" s="12" t="s">
        <v>58</v>
      </c>
      <c r="AC2" s="12" t="s">
        <v>59</v>
      </c>
      <c r="AD2" s="12"/>
      <c r="AF2" s="10"/>
      <c r="AG2" s="10"/>
      <c r="AH2" s="10"/>
    </row>
    <row r="3" spans="1:34" ht="13.5" x14ac:dyDescent="0.25">
      <c r="A3" s="11">
        <v>46175</v>
      </c>
      <c r="B3" s="12" t="s">
        <v>57</v>
      </c>
      <c r="C3" s="13"/>
      <c r="D3" s="14">
        <v>4275</v>
      </c>
      <c r="E3" s="15"/>
      <c r="F3" s="12">
        <v>102</v>
      </c>
      <c r="G3" s="11">
        <v>46203</v>
      </c>
      <c r="H3" s="16">
        <v>55000000</v>
      </c>
      <c r="I3" s="12">
        <v>720</v>
      </c>
      <c r="J3" s="16">
        <v>8562605.2779337447</v>
      </c>
      <c r="K3" s="16">
        <v>46437394.722066253</v>
      </c>
      <c r="L3" s="16">
        <v>10000000</v>
      </c>
      <c r="M3" s="12">
        <v>7</v>
      </c>
      <c r="N3" s="16">
        <v>226204.3</v>
      </c>
      <c r="O3" s="16">
        <v>9773795.6999999993</v>
      </c>
      <c r="P3" s="16"/>
      <c r="Q3" s="17"/>
      <c r="R3" s="16">
        <v>0</v>
      </c>
      <c r="S3" s="16">
        <v>0</v>
      </c>
      <c r="T3" s="16"/>
      <c r="U3" s="12"/>
      <c r="V3" s="12"/>
      <c r="W3" s="16">
        <v>0</v>
      </c>
      <c r="X3" s="16"/>
      <c r="Y3" s="18">
        <v>65000000</v>
      </c>
      <c r="Z3" s="19">
        <v>8788809.5779337455</v>
      </c>
      <c r="AA3" s="19">
        <v>56211190.422066256</v>
      </c>
      <c r="AB3" s="12" t="s">
        <v>58</v>
      </c>
      <c r="AC3" s="12" t="s">
        <v>60</v>
      </c>
      <c r="AD3" s="12" t="s">
        <v>30</v>
      </c>
      <c r="AF3" s="10"/>
      <c r="AG3" s="10"/>
      <c r="AH3" s="10"/>
    </row>
    <row r="4" spans="1:34" ht="13.5" x14ac:dyDescent="0.25">
      <c r="A4" s="11">
        <v>46175</v>
      </c>
      <c r="B4" s="12" t="s">
        <v>57</v>
      </c>
      <c r="C4" s="13"/>
      <c r="D4" s="14">
        <v>4276</v>
      </c>
      <c r="E4" s="15"/>
      <c r="F4" s="12">
        <v>102</v>
      </c>
      <c r="G4" s="11">
        <v>46203</v>
      </c>
      <c r="H4" s="16">
        <v>20000000</v>
      </c>
      <c r="I4" s="12">
        <v>390</v>
      </c>
      <c r="J4" s="16">
        <v>0</v>
      </c>
      <c r="K4" s="16">
        <v>20000000</v>
      </c>
      <c r="L4" s="16">
        <v>15000000</v>
      </c>
      <c r="M4" s="12">
        <v>7</v>
      </c>
      <c r="N4" s="16">
        <v>71587.960000000006</v>
      </c>
      <c r="O4" s="16">
        <v>14928412.039999999</v>
      </c>
      <c r="P4" s="20">
        <v>10000000</v>
      </c>
      <c r="Q4" s="17" t="s">
        <v>31</v>
      </c>
      <c r="R4" s="16">
        <v>15239.827449213926</v>
      </c>
      <c r="S4" s="16">
        <v>9984760.1725507863</v>
      </c>
      <c r="T4" s="16"/>
      <c r="U4" s="12"/>
      <c r="V4" s="12"/>
      <c r="W4" s="16">
        <v>0</v>
      </c>
      <c r="X4" s="16">
        <v>2000000</v>
      </c>
      <c r="Y4" s="18">
        <v>47000000</v>
      </c>
      <c r="Z4" s="19">
        <v>86827.787449213938</v>
      </c>
      <c r="AA4" s="19">
        <v>46913172.212550789</v>
      </c>
      <c r="AB4" s="12" t="s">
        <v>58</v>
      </c>
      <c r="AC4" s="12" t="s">
        <v>61</v>
      </c>
      <c r="AD4" s="12"/>
      <c r="AF4" s="10" t="e">
        <v>#N/A</v>
      </c>
      <c r="AG4" s="10"/>
      <c r="AH4" s="10"/>
    </row>
    <row r="5" spans="1:34" ht="13.5" x14ac:dyDescent="0.25">
      <c r="A5" s="11">
        <v>46175</v>
      </c>
      <c r="B5" s="12" t="s">
        <v>57</v>
      </c>
      <c r="C5" s="13"/>
      <c r="D5" s="14">
        <v>4264</v>
      </c>
      <c r="E5" s="15"/>
      <c r="F5" s="12">
        <v>102</v>
      </c>
      <c r="G5" s="11">
        <v>46203</v>
      </c>
      <c r="H5" s="16">
        <v>2000000</v>
      </c>
      <c r="I5" s="12">
        <v>390</v>
      </c>
      <c r="J5" s="16">
        <v>0</v>
      </c>
      <c r="K5" s="16">
        <v>2000000</v>
      </c>
      <c r="L5" s="16"/>
      <c r="M5" s="12"/>
      <c r="N5" s="16">
        <v>0</v>
      </c>
      <c r="O5" s="16">
        <v>0</v>
      </c>
      <c r="P5" s="16"/>
      <c r="Q5" s="17"/>
      <c r="R5" s="16">
        <v>0</v>
      </c>
      <c r="S5" s="16">
        <v>0</v>
      </c>
      <c r="T5" s="16"/>
      <c r="U5" s="12"/>
      <c r="V5" s="12"/>
      <c r="W5" s="16">
        <v>0</v>
      </c>
      <c r="X5" s="16"/>
      <c r="Y5" s="18">
        <v>2000000</v>
      </c>
      <c r="Z5" s="19">
        <v>0</v>
      </c>
      <c r="AA5" s="19">
        <v>2000000</v>
      </c>
      <c r="AB5" s="12" t="s">
        <v>58</v>
      </c>
      <c r="AC5" s="12" t="s">
        <v>59</v>
      </c>
      <c r="AD5" s="12"/>
      <c r="AF5" s="10" t="e">
        <v>#N/A</v>
      </c>
      <c r="AG5" s="10"/>
      <c r="AH5" s="10"/>
    </row>
    <row r="6" spans="1:34" ht="13.5" x14ac:dyDescent="0.25">
      <c r="A6" s="11">
        <v>46175</v>
      </c>
      <c r="B6" s="12" t="s">
        <v>57</v>
      </c>
      <c r="C6" s="13"/>
      <c r="D6" s="14">
        <v>4350</v>
      </c>
      <c r="E6" s="15"/>
      <c r="F6" s="12">
        <v>102</v>
      </c>
      <c r="G6" s="11">
        <v>46203</v>
      </c>
      <c r="H6" s="16">
        <v>1000000</v>
      </c>
      <c r="I6" s="12">
        <v>1080</v>
      </c>
      <c r="J6" s="16">
        <v>0</v>
      </c>
      <c r="K6" s="16">
        <v>1000000</v>
      </c>
      <c r="L6" s="21">
        <v>0</v>
      </c>
      <c r="M6" s="12">
        <v>0</v>
      </c>
      <c r="N6" s="16">
        <v>0</v>
      </c>
      <c r="O6" s="16">
        <v>0</v>
      </c>
      <c r="P6" s="16">
        <v>0</v>
      </c>
      <c r="Q6" s="17"/>
      <c r="R6" s="16">
        <v>0</v>
      </c>
      <c r="S6" s="16">
        <v>0</v>
      </c>
      <c r="T6" s="16"/>
      <c r="U6" s="17"/>
      <c r="V6" s="12"/>
      <c r="W6" s="16">
        <v>0</v>
      </c>
      <c r="X6" s="16"/>
      <c r="Y6" s="18">
        <v>1000000</v>
      </c>
      <c r="Z6" s="19">
        <v>0</v>
      </c>
      <c r="AA6" s="16">
        <v>1000000</v>
      </c>
      <c r="AB6" s="12" t="s">
        <v>58</v>
      </c>
      <c r="AC6" s="12" t="s">
        <v>59</v>
      </c>
      <c r="AD6" s="12"/>
      <c r="AF6" s="10" t="e">
        <v>#N/A</v>
      </c>
      <c r="AG6" s="10"/>
      <c r="AH6" s="10"/>
    </row>
    <row r="7" spans="1:34" ht="13.5" x14ac:dyDescent="0.25">
      <c r="A7" s="11">
        <v>46175</v>
      </c>
      <c r="B7" s="12" t="s">
        <v>57</v>
      </c>
      <c r="C7" s="13"/>
      <c r="D7" s="14">
        <v>4274</v>
      </c>
      <c r="E7" s="15"/>
      <c r="F7" s="12">
        <v>102</v>
      </c>
      <c r="G7" s="11">
        <v>46203</v>
      </c>
      <c r="H7" s="16">
        <v>3000000</v>
      </c>
      <c r="I7" s="12">
        <v>560</v>
      </c>
      <c r="J7" s="16">
        <v>0</v>
      </c>
      <c r="K7" s="16">
        <v>3000000</v>
      </c>
      <c r="L7" s="16"/>
      <c r="M7" s="12"/>
      <c r="N7" s="16">
        <v>0</v>
      </c>
      <c r="O7" s="16">
        <v>0</v>
      </c>
      <c r="P7" s="16"/>
      <c r="Q7" s="17"/>
      <c r="R7" s="16">
        <v>0</v>
      </c>
      <c r="S7" s="16">
        <v>0</v>
      </c>
      <c r="T7" s="16"/>
      <c r="U7" s="12"/>
      <c r="V7" s="12"/>
      <c r="W7" s="16">
        <v>0</v>
      </c>
      <c r="X7" s="16"/>
      <c r="Y7" s="18">
        <v>3000000</v>
      </c>
      <c r="Z7" s="19">
        <v>0</v>
      </c>
      <c r="AA7" s="19">
        <v>3000000</v>
      </c>
      <c r="AB7" s="12" t="s">
        <v>58</v>
      </c>
      <c r="AC7" s="12" t="s">
        <v>59</v>
      </c>
      <c r="AD7" s="12"/>
      <c r="AF7" s="10" t="e">
        <v>#N/A</v>
      </c>
      <c r="AG7" s="10"/>
      <c r="AH7" s="10"/>
    </row>
    <row r="8" spans="1:34" ht="13.5" x14ac:dyDescent="0.25">
      <c r="A8" s="11">
        <v>46175</v>
      </c>
      <c r="B8" s="12" t="s">
        <v>1</v>
      </c>
      <c r="C8" s="13"/>
      <c r="D8" s="14">
        <v>4210</v>
      </c>
      <c r="E8" s="15"/>
      <c r="F8" s="12">
        <v>104</v>
      </c>
      <c r="G8" s="11">
        <v>46265</v>
      </c>
      <c r="H8" s="16">
        <v>4450000</v>
      </c>
      <c r="I8" s="12">
        <v>1825</v>
      </c>
      <c r="J8" s="16">
        <v>4017917.1900000009</v>
      </c>
      <c r="K8" s="16">
        <v>432082.80999999912</v>
      </c>
      <c r="L8" s="16">
        <v>100000</v>
      </c>
      <c r="M8" s="12">
        <v>365</v>
      </c>
      <c r="N8" s="16">
        <v>51</v>
      </c>
      <c r="O8" s="16">
        <v>99949</v>
      </c>
      <c r="P8" s="20">
        <v>28000000</v>
      </c>
      <c r="Q8" s="17" t="s">
        <v>32</v>
      </c>
      <c r="R8" s="16">
        <v>8765145.4508864135</v>
      </c>
      <c r="S8" s="16">
        <v>19234854.549113587</v>
      </c>
      <c r="T8" s="16"/>
      <c r="U8" s="12"/>
      <c r="V8" s="12"/>
      <c r="W8" s="16">
        <v>0</v>
      </c>
      <c r="X8" s="16"/>
      <c r="Y8" s="18">
        <v>32550000</v>
      </c>
      <c r="Z8" s="19">
        <v>12783113.640886415</v>
      </c>
      <c r="AA8" s="19">
        <v>19766886.359113585</v>
      </c>
      <c r="AB8" s="12" t="s">
        <v>62</v>
      </c>
      <c r="AC8" s="12" t="s">
        <v>63</v>
      </c>
      <c r="AD8" s="12" t="s">
        <v>33</v>
      </c>
      <c r="AF8" s="10" t="e">
        <v>#N/A</v>
      </c>
      <c r="AG8" s="10"/>
      <c r="AH8" s="10"/>
    </row>
    <row r="9" spans="1:34" ht="13.5" x14ac:dyDescent="0.25">
      <c r="A9" s="11">
        <v>46175</v>
      </c>
      <c r="B9" s="12" t="s">
        <v>57</v>
      </c>
      <c r="C9" s="13"/>
      <c r="D9" s="14">
        <v>4291</v>
      </c>
      <c r="E9" s="15"/>
      <c r="F9" s="12">
        <v>104</v>
      </c>
      <c r="G9" s="11">
        <v>46326</v>
      </c>
      <c r="H9" s="16">
        <v>15000000</v>
      </c>
      <c r="I9" s="12">
        <v>390</v>
      </c>
      <c r="J9" s="16">
        <v>0</v>
      </c>
      <c r="K9" s="16">
        <v>15000000</v>
      </c>
      <c r="L9" s="16"/>
      <c r="M9" s="12"/>
      <c r="N9" s="16">
        <v>0</v>
      </c>
      <c r="O9" s="16">
        <v>0</v>
      </c>
      <c r="P9" s="16"/>
      <c r="Q9" s="17"/>
      <c r="R9" s="16">
        <v>0</v>
      </c>
      <c r="S9" s="16">
        <v>0</v>
      </c>
      <c r="T9" s="16"/>
      <c r="U9" s="12"/>
      <c r="V9" s="12"/>
      <c r="W9" s="16">
        <v>0</v>
      </c>
      <c r="X9" s="16"/>
      <c r="Y9" s="18">
        <v>15000000</v>
      </c>
      <c r="Z9" s="19">
        <v>0</v>
      </c>
      <c r="AA9" s="19">
        <v>15000000</v>
      </c>
      <c r="AB9" s="12" t="s">
        <v>62</v>
      </c>
      <c r="AC9" s="12" t="s">
        <v>64</v>
      </c>
      <c r="AD9" s="12" t="s">
        <v>33</v>
      </c>
      <c r="AF9" s="10" t="e">
        <v>#N/A</v>
      </c>
      <c r="AG9" s="10"/>
      <c r="AH9" s="10"/>
    </row>
    <row r="10" spans="1:34" ht="13.5" x14ac:dyDescent="0.25">
      <c r="A10" s="11">
        <v>46175</v>
      </c>
      <c r="B10" s="12" t="s">
        <v>57</v>
      </c>
      <c r="C10" s="13"/>
      <c r="D10" s="14">
        <v>4344</v>
      </c>
      <c r="E10" s="15"/>
      <c r="F10" s="12">
        <v>104</v>
      </c>
      <c r="G10" s="11">
        <v>46387</v>
      </c>
      <c r="H10" s="16">
        <v>7500000</v>
      </c>
      <c r="I10" s="12">
        <v>480</v>
      </c>
      <c r="J10" s="16">
        <v>0</v>
      </c>
      <c r="K10" s="16">
        <v>7500000</v>
      </c>
      <c r="L10" s="16"/>
      <c r="M10" s="12"/>
      <c r="N10" s="16">
        <v>0</v>
      </c>
      <c r="O10" s="16">
        <v>0</v>
      </c>
      <c r="P10" s="16"/>
      <c r="Q10" s="17"/>
      <c r="R10" s="16">
        <v>0</v>
      </c>
      <c r="S10" s="16">
        <v>0</v>
      </c>
      <c r="T10" s="16"/>
      <c r="U10" s="12"/>
      <c r="V10" s="12"/>
      <c r="W10" s="16">
        <v>0</v>
      </c>
      <c r="X10" s="16"/>
      <c r="Y10" s="18">
        <v>7500000</v>
      </c>
      <c r="Z10" s="19">
        <v>0</v>
      </c>
      <c r="AA10" s="19">
        <v>7500000</v>
      </c>
      <c r="AB10" s="12" t="s">
        <v>62</v>
      </c>
      <c r="AC10" s="12" t="s">
        <v>64</v>
      </c>
      <c r="AD10" s="12" t="s">
        <v>33</v>
      </c>
      <c r="AF10" s="10" t="e">
        <v>#N/A</v>
      </c>
      <c r="AG10" s="10"/>
      <c r="AH10" s="10"/>
    </row>
    <row r="11" spans="1:34" ht="13.5" x14ac:dyDescent="0.25">
      <c r="A11" s="11">
        <v>46175</v>
      </c>
      <c r="B11" s="12" t="s">
        <v>57</v>
      </c>
      <c r="C11" s="13"/>
      <c r="D11" s="14">
        <v>4259</v>
      </c>
      <c r="E11" s="15"/>
      <c r="F11" s="12">
        <v>104</v>
      </c>
      <c r="G11" s="11">
        <v>46387</v>
      </c>
      <c r="H11" s="16"/>
      <c r="I11" s="12"/>
      <c r="J11" s="16">
        <v>0</v>
      </c>
      <c r="K11" s="16">
        <v>0</v>
      </c>
      <c r="L11" s="16">
        <v>26000000</v>
      </c>
      <c r="M11" s="12">
        <v>180</v>
      </c>
      <c r="N11" s="16">
        <v>20000000</v>
      </c>
      <c r="O11" s="16">
        <v>6000000</v>
      </c>
      <c r="P11" s="16"/>
      <c r="Q11" s="17"/>
      <c r="R11" s="16">
        <v>0</v>
      </c>
      <c r="S11" s="16">
        <v>0</v>
      </c>
      <c r="T11" s="16"/>
      <c r="U11" s="12"/>
      <c r="V11" s="12"/>
      <c r="W11" s="16">
        <v>0</v>
      </c>
      <c r="X11" s="16"/>
      <c r="Y11" s="18">
        <v>26000000</v>
      </c>
      <c r="Z11" s="19">
        <v>20000000</v>
      </c>
      <c r="AA11" s="19">
        <v>6000000</v>
      </c>
      <c r="AB11" s="12" t="s">
        <v>62</v>
      </c>
      <c r="AC11" s="12" t="s">
        <v>64</v>
      </c>
      <c r="AD11" s="12" t="s">
        <v>33</v>
      </c>
      <c r="AF11" s="10" t="e">
        <v>#N/A</v>
      </c>
      <c r="AG11" s="10"/>
      <c r="AH11" s="10"/>
    </row>
    <row r="12" spans="1:34" ht="13.5" x14ac:dyDescent="0.25">
      <c r="A12" s="11">
        <v>46175</v>
      </c>
      <c r="B12" s="12" t="s">
        <v>57</v>
      </c>
      <c r="C12" s="13"/>
      <c r="D12" s="14">
        <v>4292</v>
      </c>
      <c r="E12" s="15"/>
      <c r="F12" s="12">
        <v>104</v>
      </c>
      <c r="G12" s="11">
        <v>46203</v>
      </c>
      <c r="H12" s="16">
        <v>14430000</v>
      </c>
      <c r="I12" s="12">
        <v>730</v>
      </c>
      <c r="J12" s="16">
        <v>0</v>
      </c>
      <c r="K12" s="16">
        <v>14430000</v>
      </c>
      <c r="L12" s="16"/>
      <c r="M12" s="12"/>
      <c r="N12" s="16">
        <v>0</v>
      </c>
      <c r="O12" s="16">
        <v>0</v>
      </c>
      <c r="P12" s="16"/>
      <c r="Q12" s="17"/>
      <c r="R12" s="16">
        <v>0</v>
      </c>
      <c r="S12" s="16">
        <v>0</v>
      </c>
      <c r="T12" s="16"/>
      <c r="U12" s="12"/>
      <c r="V12" s="12"/>
      <c r="W12" s="16">
        <v>0</v>
      </c>
      <c r="X12" s="16"/>
      <c r="Y12" s="18">
        <v>14430000</v>
      </c>
      <c r="Z12" s="19">
        <v>0</v>
      </c>
      <c r="AA12" s="19">
        <v>14430000</v>
      </c>
      <c r="AB12" s="12" t="s">
        <v>62</v>
      </c>
      <c r="AC12" s="12" t="s">
        <v>64</v>
      </c>
      <c r="AD12" s="12" t="s">
        <v>33</v>
      </c>
      <c r="AF12" s="10" t="e">
        <v>#N/A</v>
      </c>
      <c r="AG12" s="10"/>
      <c r="AH12" s="10"/>
    </row>
    <row r="13" spans="1:34" ht="13.5" x14ac:dyDescent="0.25">
      <c r="A13" s="11">
        <v>46175</v>
      </c>
      <c r="B13" s="12" t="s">
        <v>57</v>
      </c>
      <c r="C13" s="13"/>
      <c r="D13" s="14">
        <v>4379</v>
      </c>
      <c r="E13" s="15"/>
      <c r="F13" s="12">
        <v>111</v>
      </c>
      <c r="G13" s="11">
        <v>46326</v>
      </c>
      <c r="H13" s="16"/>
      <c r="I13" s="11"/>
      <c r="J13" s="16">
        <v>0</v>
      </c>
      <c r="K13" s="16">
        <v>0</v>
      </c>
      <c r="L13" s="16"/>
      <c r="M13" s="12"/>
      <c r="N13" s="16">
        <v>0</v>
      </c>
      <c r="O13" s="16">
        <v>0</v>
      </c>
      <c r="P13" s="16"/>
      <c r="Q13" s="17"/>
      <c r="R13" s="16">
        <v>0</v>
      </c>
      <c r="S13" s="16">
        <v>0</v>
      </c>
      <c r="T13" s="16"/>
      <c r="U13" s="12"/>
      <c r="V13" s="12"/>
      <c r="W13" s="16">
        <v>0</v>
      </c>
      <c r="X13" s="16">
        <v>3000000</v>
      </c>
      <c r="Y13" s="18">
        <v>3000000</v>
      </c>
      <c r="Z13" s="19">
        <v>0</v>
      </c>
      <c r="AA13" s="19">
        <v>3000000</v>
      </c>
      <c r="AB13" s="12"/>
      <c r="AC13" s="12" t="s">
        <v>65</v>
      </c>
      <c r="AD13" s="12"/>
      <c r="AF13" s="10">
        <v>0</v>
      </c>
      <c r="AG13" s="10"/>
      <c r="AH13" s="10"/>
    </row>
    <row r="14" spans="1:34" ht="13.5" x14ac:dyDescent="0.25">
      <c r="A14" s="11">
        <v>46175</v>
      </c>
      <c r="B14" s="12" t="s">
        <v>57</v>
      </c>
      <c r="C14" s="13"/>
      <c r="D14" s="14">
        <v>485</v>
      </c>
      <c r="E14" s="15"/>
      <c r="F14" s="12">
        <v>105</v>
      </c>
      <c r="G14" s="11">
        <v>46507</v>
      </c>
      <c r="H14" s="16">
        <v>20000000</v>
      </c>
      <c r="I14" s="12">
        <v>390</v>
      </c>
      <c r="J14" s="16">
        <v>0</v>
      </c>
      <c r="K14" s="16">
        <v>20000000</v>
      </c>
      <c r="L14" s="16">
        <v>7000000</v>
      </c>
      <c r="M14" s="12">
        <v>390</v>
      </c>
      <c r="N14" s="16">
        <v>4007006.01</v>
      </c>
      <c r="O14" s="16">
        <v>2992993.99</v>
      </c>
      <c r="P14" s="20">
        <v>2000000</v>
      </c>
      <c r="Q14" s="17" t="s">
        <v>34</v>
      </c>
      <c r="R14" s="16">
        <v>0</v>
      </c>
      <c r="S14" s="16">
        <v>2000000</v>
      </c>
      <c r="T14" s="16"/>
      <c r="U14" s="12"/>
      <c r="V14" s="12"/>
      <c r="W14" s="16">
        <v>0</v>
      </c>
      <c r="X14" s="16">
        <v>5000000</v>
      </c>
      <c r="Y14" s="18">
        <v>34000000</v>
      </c>
      <c r="Z14" s="19">
        <v>4007006.01</v>
      </c>
      <c r="AA14" s="19">
        <v>29992993.990000002</v>
      </c>
      <c r="AB14" s="12" t="s">
        <v>62</v>
      </c>
      <c r="AC14" s="12" t="s">
        <v>59</v>
      </c>
      <c r="AD14" s="12"/>
      <c r="AF14" s="10" t="e">
        <v>#N/A</v>
      </c>
      <c r="AG14" s="10"/>
      <c r="AH14" s="10"/>
    </row>
    <row r="15" spans="1:34" ht="13.5" x14ac:dyDescent="0.25">
      <c r="A15" s="11">
        <v>46175</v>
      </c>
      <c r="B15" s="12" t="s">
        <v>57</v>
      </c>
      <c r="C15" s="13"/>
      <c r="D15" s="14">
        <v>3470</v>
      </c>
      <c r="E15" s="15"/>
      <c r="F15" s="12">
        <v>105</v>
      </c>
      <c r="G15" s="11">
        <v>46507</v>
      </c>
      <c r="H15" s="16">
        <v>20000000</v>
      </c>
      <c r="I15" s="12">
        <v>395</v>
      </c>
      <c r="J15" s="16">
        <v>0</v>
      </c>
      <c r="K15" s="16"/>
      <c r="L15" s="16">
        <v>30000000</v>
      </c>
      <c r="M15" s="12">
        <v>395</v>
      </c>
      <c r="N15" s="16">
        <v>0</v>
      </c>
      <c r="O15" s="16">
        <v>30000000</v>
      </c>
      <c r="P15" s="20">
        <v>10000000</v>
      </c>
      <c r="Q15" s="17" t="s">
        <v>35</v>
      </c>
      <c r="R15" s="16">
        <v>5145524.8176588984</v>
      </c>
      <c r="S15" s="16">
        <v>4854475.1823411016</v>
      </c>
      <c r="T15" s="16"/>
      <c r="U15" s="12"/>
      <c r="V15" s="12"/>
      <c r="W15" s="16">
        <v>0</v>
      </c>
      <c r="X15" s="16">
        <v>5000000</v>
      </c>
      <c r="Y15" s="18">
        <v>65000000</v>
      </c>
      <c r="Z15" s="19">
        <v>5145524.8176588984</v>
      </c>
      <c r="AA15" s="19">
        <v>59854475.182341099</v>
      </c>
      <c r="AB15" s="12" t="s">
        <v>62</v>
      </c>
      <c r="AC15" s="12" t="s">
        <v>59</v>
      </c>
      <c r="AD15" s="12" t="s">
        <v>36</v>
      </c>
      <c r="AF15" s="10" t="e">
        <v>#N/A</v>
      </c>
      <c r="AG15" s="10"/>
      <c r="AH15" s="10"/>
    </row>
    <row r="16" spans="1:34" ht="13.5" x14ac:dyDescent="0.25">
      <c r="A16" s="11">
        <v>46175</v>
      </c>
      <c r="B16" s="12" t="s">
        <v>57</v>
      </c>
      <c r="C16" s="13"/>
      <c r="D16" s="14">
        <v>2996</v>
      </c>
      <c r="E16" s="15"/>
      <c r="F16" s="12">
        <v>105</v>
      </c>
      <c r="G16" s="11">
        <v>46507</v>
      </c>
      <c r="H16" s="16">
        <v>2000000</v>
      </c>
      <c r="I16" s="12">
        <v>1080</v>
      </c>
      <c r="J16" s="16">
        <v>0</v>
      </c>
      <c r="K16" s="16">
        <v>2000000</v>
      </c>
      <c r="L16" s="21">
        <v>0</v>
      </c>
      <c r="M16" s="12">
        <v>0</v>
      </c>
      <c r="N16" s="16">
        <v>0</v>
      </c>
      <c r="O16" s="16">
        <v>0</v>
      </c>
      <c r="P16" s="16">
        <v>0</v>
      </c>
      <c r="Q16" s="17"/>
      <c r="R16" s="16">
        <v>0</v>
      </c>
      <c r="S16" s="16">
        <v>0</v>
      </c>
      <c r="T16" s="16"/>
      <c r="U16" s="17"/>
      <c r="V16" s="12"/>
      <c r="W16" s="16">
        <v>0</v>
      </c>
      <c r="X16" s="16"/>
      <c r="Y16" s="18">
        <v>2000000</v>
      </c>
      <c r="Z16" s="19">
        <v>0</v>
      </c>
      <c r="AA16" s="16">
        <v>2000000</v>
      </c>
      <c r="AB16" s="12" t="s">
        <v>62</v>
      </c>
      <c r="AC16" s="12" t="s">
        <v>66</v>
      </c>
      <c r="AD16" s="12"/>
      <c r="AF16" s="10" t="e">
        <v>#N/A</v>
      </c>
      <c r="AG16" s="10"/>
      <c r="AH16" s="10"/>
    </row>
    <row r="17" spans="1:34" ht="13.5" x14ac:dyDescent="0.25">
      <c r="A17" s="11">
        <v>46175</v>
      </c>
      <c r="B17" s="12" t="s">
        <v>1</v>
      </c>
      <c r="C17" s="13"/>
      <c r="D17" s="14">
        <v>351</v>
      </c>
      <c r="E17" s="15"/>
      <c r="F17" s="12">
        <v>106</v>
      </c>
      <c r="G17" s="11">
        <v>46265</v>
      </c>
      <c r="H17" s="16">
        <v>5000000</v>
      </c>
      <c r="I17" s="12">
        <v>1800</v>
      </c>
      <c r="J17" s="16">
        <v>3750000</v>
      </c>
      <c r="K17" s="16">
        <v>1250000</v>
      </c>
      <c r="L17" s="16">
        <v>5000000</v>
      </c>
      <c r="M17" s="12">
        <v>30</v>
      </c>
      <c r="N17" s="16">
        <v>4306927.8099999996</v>
      </c>
      <c r="O17" s="16">
        <v>693072.19000000041</v>
      </c>
      <c r="P17" s="20">
        <v>500000</v>
      </c>
      <c r="Q17" s="17" t="s">
        <v>37</v>
      </c>
      <c r="R17" s="16">
        <v>0</v>
      </c>
      <c r="S17" s="16">
        <v>500000</v>
      </c>
      <c r="T17" s="16"/>
      <c r="U17" s="12"/>
      <c r="V17" s="12"/>
      <c r="W17" s="16">
        <v>0</v>
      </c>
      <c r="X17" s="16"/>
      <c r="Y17" s="18">
        <v>10500000</v>
      </c>
      <c r="Z17" s="19">
        <v>8056927.8099999996</v>
      </c>
      <c r="AA17" s="19">
        <v>2443072.1900000004</v>
      </c>
      <c r="AB17" s="12" t="s">
        <v>58</v>
      </c>
      <c r="AC17" s="12" t="s">
        <v>67</v>
      </c>
      <c r="AD17" s="12" t="s">
        <v>38</v>
      </c>
      <c r="AF17" s="10" t="e">
        <v>#N/A</v>
      </c>
      <c r="AG17" s="10"/>
      <c r="AH17" s="10"/>
    </row>
    <row r="18" spans="1:34" ht="13.5" x14ac:dyDescent="0.25">
      <c r="A18" s="11">
        <v>46175</v>
      </c>
      <c r="B18" s="12" t="s">
        <v>57</v>
      </c>
      <c r="C18" s="13"/>
      <c r="D18" s="14">
        <v>4200</v>
      </c>
      <c r="E18" s="15"/>
      <c r="F18" s="12">
        <v>106</v>
      </c>
      <c r="G18" s="11">
        <v>46295</v>
      </c>
      <c r="H18" s="16">
        <v>10000000</v>
      </c>
      <c r="I18" s="12">
        <v>395</v>
      </c>
      <c r="J18" s="16">
        <v>50000</v>
      </c>
      <c r="K18" s="16">
        <v>9950000</v>
      </c>
      <c r="L18" s="16"/>
      <c r="M18" s="12"/>
      <c r="N18" s="16">
        <v>0</v>
      </c>
      <c r="O18" s="16">
        <v>0</v>
      </c>
      <c r="P18" s="16"/>
      <c r="Q18" s="17"/>
      <c r="R18" s="16">
        <v>0</v>
      </c>
      <c r="S18" s="16">
        <v>0</v>
      </c>
      <c r="T18" s="16"/>
      <c r="U18" s="12"/>
      <c r="V18" s="12"/>
      <c r="W18" s="16">
        <v>0</v>
      </c>
      <c r="X18" s="22"/>
      <c r="Y18" s="18">
        <v>10000000</v>
      </c>
      <c r="Z18" s="19">
        <v>50000</v>
      </c>
      <c r="AA18" s="19">
        <v>9950000</v>
      </c>
      <c r="AB18" s="12" t="s">
        <v>58</v>
      </c>
      <c r="AC18" s="12" t="s">
        <v>60</v>
      </c>
      <c r="AD18" s="12"/>
      <c r="AF18" s="10" t="e">
        <v>#N/A</v>
      </c>
      <c r="AG18" s="10"/>
      <c r="AH18" s="10"/>
    </row>
    <row r="19" spans="1:34" ht="13.5" x14ac:dyDescent="0.25">
      <c r="A19" s="11">
        <v>46175</v>
      </c>
      <c r="B19" s="12" t="s">
        <v>57</v>
      </c>
      <c r="C19" s="13"/>
      <c r="D19" s="14">
        <v>4248</v>
      </c>
      <c r="E19" s="15"/>
      <c r="F19" s="12">
        <v>106</v>
      </c>
      <c r="G19" s="11">
        <v>46326</v>
      </c>
      <c r="H19" s="16">
        <v>10000000</v>
      </c>
      <c r="I19" s="12">
        <v>570</v>
      </c>
      <c r="J19" s="16">
        <v>4000000</v>
      </c>
      <c r="K19" s="16">
        <v>6000000</v>
      </c>
      <c r="L19" s="16">
        <v>10000000</v>
      </c>
      <c r="M19" s="12">
        <v>390</v>
      </c>
      <c r="N19" s="16">
        <v>0</v>
      </c>
      <c r="O19" s="16">
        <v>10000000</v>
      </c>
      <c r="P19" s="16"/>
      <c r="Q19" s="17"/>
      <c r="R19" s="16">
        <v>0</v>
      </c>
      <c r="S19" s="16">
        <v>0</v>
      </c>
      <c r="T19" s="16"/>
      <c r="U19" s="12"/>
      <c r="V19" s="12"/>
      <c r="W19" s="16">
        <v>0</v>
      </c>
      <c r="X19" s="16"/>
      <c r="Y19" s="18">
        <v>20000000</v>
      </c>
      <c r="Z19" s="19">
        <v>4000000</v>
      </c>
      <c r="AA19" s="19">
        <v>16000000</v>
      </c>
      <c r="AB19" s="12" t="s">
        <v>58</v>
      </c>
      <c r="AC19" s="12" t="s">
        <v>61</v>
      </c>
      <c r="AD19" s="12"/>
      <c r="AF19" s="10" t="e">
        <v>#N/A</v>
      </c>
      <c r="AG19" s="10"/>
      <c r="AH19" s="10"/>
    </row>
    <row r="20" spans="1:34" ht="13.5" x14ac:dyDescent="0.25">
      <c r="A20" s="11">
        <v>46175</v>
      </c>
      <c r="B20" s="12" t="s">
        <v>57</v>
      </c>
      <c r="C20" s="23"/>
      <c r="D20" s="24">
        <v>4427</v>
      </c>
      <c r="E20" s="25"/>
      <c r="F20" s="12">
        <v>106</v>
      </c>
      <c r="G20" s="11">
        <v>46203</v>
      </c>
      <c r="H20" s="16">
        <v>1500000</v>
      </c>
      <c r="I20" s="12">
        <v>395</v>
      </c>
      <c r="J20" s="16">
        <v>1500000</v>
      </c>
      <c r="K20" s="16">
        <v>0</v>
      </c>
      <c r="L20" s="16"/>
      <c r="M20" s="12"/>
      <c r="N20" s="16">
        <v>0</v>
      </c>
      <c r="O20" s="16">
        <v>0</v>
      </c>
      <c r="P20" s="16"/>
      <c r="Q20" s="17"/>
      <c r="R20" s="16">
        <v>0</v>
      </c>
      <c r="S20" s="16">
        <v>0</v>
      </c>
      <c r="T20" s="16"/>
      <c r="U20" s="12"/>
      <c r="V20" s="12"/>
      <c r="W20" s="16">
        <v>0</v>
      </c>
      <c r="X20" s="16"/>
      <c r="Y20" s="18">
        <v>1500000</v>
      </c>
      <c r="Z20" s="19">
        <v>1500000</v>
      </c>
      <c r="AA20" s="19">
        <v>0</v>
      </c>
      <c r="AB20" s="12" t="s">
        <v>58</v>
      </c>
      <c r="AC20" s="12" t="s">
        <v>61</v>
      </c>
      <c r="AD20" s="12"/>
      <c r="AF20" s="10" t="e">
        <v>#N/A</v>
      </c>
      <c r="AG20" s="10"/>
      <c r="AH20" s="10"/>
    </row>
    <row r="21" spans="1:34" ht="13.5" x14ac:dyDescent="0.25">
      <c r="A21" s="11">
        <v>46175</v>
      </c>
      <c r="B21" s="12" t="s">
        <v>57</v>
      </c>
      <c r="C21" s="13"/>
      <c r="D21" s="14">
        <v>4290</v>
      </c>
      <c r="E21" s="15"/>
      <c r="F21" s="12">
        <v>106</v>
      </c>
      <c r="G21" s="11">
        <v>46507</v>
      </c>
      <c r="H21" s="16">
        <v>81000000</v>
      </c>
      <c r="I21" s="12">
        <v>395</v>
      </c>
      <c r="J21" s="16">
        <v>74107825.028820887</v>
      </c>
      <c r="K21" s="16">
        <v>6892174.9711791128</v>
      </c>
      <c r="L21" s="16"/>
      <c r="M21" s="12"/>
      <c r="N21" s="16">
        <v>0</v>
      </c>
      <c r="O21" s="16">
        <v>0</v>
      </c>
      <c r="P21" s="16"/>
      <c r="Q21" s="17"/>
      <c r="R21" s="16">
        <v>0</v>
      </c>
      <c r="S21" s="16">
        <v>0</v>
      </c>
      <c r="T21" s="16"/>
      <c r="U21" s="12"/>
      <c r="V21" s="12"/>
      <c r="W21" s="16">
        <v>0</v>
      </c>
      <c r="X21" s="16"/>
      <c r="Y21" s="18">
        <v>81000000</v>
      </c>
      <c r="Z21" s="19">
        <v>74107825.028820887</v>
      </c>
      <c r="AA21" s="19">
        <v>6892174.9711791128</v>
      </c>
      <c r="AB21" s="12" t="s">
        <v>58</v>
      </c>
      <c r="AC21" s="12" t="s">
        <v>60</v>
      </c>
      <c r="AD21" s="12" t="s">
        <v>39</v>
      </c>
      <c r="AF21" s="10" t="e">
        <v>#N/A</v>
      </c>
      <c r="AG21" s="10"/>
      <c r="AH21" s="10"/>
    </row>
    <row r="22" spans="1:34" ht="13.5" x14ac:dyDescent="0.25">
      <c r="A22" s="11">
        <v>46175</v>
      </c>
      <c r="B22" s="12" t="s">
        <v>57</v>
      </c>
      <c r="C22" s="13"/>
      <c r="D22" s="14">
        <v>4271</v>
      </c>
      <c r="E22" s="15"/>
      <c r="F22" s="12">
        <v>107</v>
      </c>
      <c r="G22" s="11">
        <v>46203</v>
      </c>
      <c r="H22" s="16">
        <v>5000000</v>
      </c>
      <c r="I22" s="12">
        <v>395</v>
      </c>
      <c r="J22" s="16">
        <v>0</v>
      </c>
      <c r="K22" s="16">
        <v>5000000</v>
      </c>
      <c r="L22" s="16"/>
      <c r="M22" s="12"/>
      <c r="N22" s="16">
        <v>0</v>
      </c>
      <c r="O22" s="16">
        <v>0</v>
      </c>
      <c r="P22" s="16"/>
      <c r="Q22" s="17"/>
      <c r="R22" s="16">
        <v>0</v>
      </c>
      <c r="S22" s="16">
        <v>0</v>
      </c>
      <c r="T22" s="16"/>
      <c r="U22" s="12"/>
      <c r="V22" s="12"/>
      <c r="W22" s="16">
        <v>0</v>
      </c>
      <c r="X22" s="16"/>
      <c r="Y22" s="18">
        <v>5000000</v>
      </c>
      <c r="Z22" s="19">
        <v>0</v>
      </c>
      <c r="AA22" s="19">
        <v>5000000</v>
      </c>
      <c r="AB22" s="12" t="s">
        <v>62</v>
      </c>
      <c r="AC22" s="12" t="s">
        <v>60</v>
      </c>
      <c r="AD22" s="12"/>
      <c r="AF22" s="10" t="e">
        <v>#N/A</v>
      </c>
      <c r="AG22" s="10"/>
      <c r="AH22" s="10"/>
    </row>
    <row r="23" spans="1:34" ht="13.5" x14ac:dyDescent="0.25">
      <c r="A23" s="11">
        <v>46175</v>
      </c>
      <c r="B23" s="12" t="s">
        <v>57</v>
      </c>
      <c r="C23" s="13"/>
      <c r="D23" s="14">
        <v>4341</v>
      </c>
      <c r="E23" s="15"/>
      <c r="F23" s="12">
        <v>109</v>
      </c>
      <c r="G23" s="11">
        <v>46326</v>
      </c>
      <c r="H23" s="16">
        <v>1500000</v>
      </c>
      <c r="I23" s="12">
        <v>390</v>
      </c>
      <c r="J23" s="16">
        <v>0</v>
      </c>
      <c r="K23" s="16">
        <v>1500000</v>
      </c>
      <c r="L23" s="16"/>
      <c r="M23" s="12"/>
      <c r="N23" s="16">
        <v>0</v>
      </c>
      <c r="O23" s="16">
        <v>0</v>
      </c>
      <c r="P23" s="16"/>
      <c r="Q23" s="17"/>
      <c r="R23" s="16">
        <v>0</v>
      </c>
      <c r="S23" s="16">
        <v>0</v>
      </c>
      <c r="T23" s="16"/>
      <c r="U23" s="12"/>
      <c r="V23" s="12"/>
      <c r="W23" s="16">
        <v>0</v>
      </c>
      <c r="X23" s="16"/>
      <c r="Y23" s="18">
        <v>1500000</v>
      </c>
      <c r="Z23" s="19">
        <v>0</v>
      </c>
      <c r="AA23" s="19">
        <v>1500000</v>
      </c>
      <c r="AB23" s="12" t="s">
        <v>62</v>
      </c>
      <c r="AC23" s="12" t="s">
        <v>60</v>
      </c>
      <c r="AD23" s="12"/>
      <c r="AF23" s="10" t="e">
        <v>#N/A</v>
      </c>
      <c r="AG23" s="10"/>
      <c r="AH23" s="10"/>
    </row>
    <row r="24" spans="1:34" ht="13.5" x14ac:dyDescent="0.25">
      <c r="A24" s="11">
        <v>46175</v>
      </c>
      <c r="B24" s="12" t="s">
        <v>57</v>
      </c>
      <c r="C24" s="13"/>
      <c r="D24" s="14">
        <v>4362</v>
      </c>
      <c r="E24" s="15"/>
      <c r="F24" s="12" t="s">
        <v>68</v>
      </c>
      <c r="G24" s="11">
        <v>46173</v>
      </c>
      <c r="H24" s="16">
        <v>20000000</v>
      </c>
      <c r="I24" s="12">
        <v>390</v>
      </c>
      <c r="J24" s="16">
        <v>0</v>
      </c>
      <c r="K24" s="16">
        <v>20000000</v>
      </c>
      <c r="L24" s="16"/>
      <c r="M24" s="12"/>
      <c r="N24" s="16">
        <v>0</v>
      </c>
      <c r="O24" s="16">
        <v>0</v>
      </c>
      <c r="P24" s="16"/>
      <c r="Q24" s="17"/>
      <c r="R24" s="16">
        <v>0</v>
      </c>
      <c r="S24" s="16">
        <v>0</v>
      </c>
      <c r="T24" s="16"/>
      <c r="U24" s="17"/>
      <c r="V24" s="12"/>
      <c r="W24" s="16">
        <v>0</v>
      </c>
      <c r="X24" s="16"/>
      <c r="Y24" s="18">
        <v>20000000</v>
      </c>
      <c r="Z24" s="19">
        <v>0</v>
      </c>
      <c r="AA24" s="16">
        <v>20000000</v>
      </c>
      <c r="AB24" s="12" t="s">
        <v>62</v>
      </c>
      <c r="AC24" s="12" t="s">
        <v>59</v>
      </c>
      <c r="AD24" s="12"/>
      <c r="AF24" s="10" t="e">
        <v>#N/A</v>
      </c>
      <c r="AG24" s="10"/>
      <c r="AH24" s="10"/>
    </row>
    <row r="25" spans="1:34" ht="13.5" x14ac:dyDescent="0.25">
      <c r="A25" s="11">
        <v>46175</v>
      </c>
      <c r="B25" s="12" t="s">
        <v>57</v>
      </c>
      <c r="C25" s="13"/>
      <c r="D25" s="14">
        <v>4277</v>
      </c>
      <c r="E25" s="15"/>
      <c r="F25" s="12">
        <v>110</v>
      </c>
      <c r="G25" s="11">
        <v>46507</v>
      </c>
      <c r="H25" s="16">
        <v>2000000</v>
      </c>
      <c r="I25" s="12">
        <v>390</v>
      </c>
      <c r="J25" s="16">
        <v>0</v>
      </c>
      <c r="K25" s="16">
        <v>2000000</v>
      </c>
      <c r="L25" s="16"/>
      <c r="M25" s="12"/>
      <c r="N25" s="16">
        <v>0</v>
      </c>
      <c r="O25" s="16">
        <v>0</v>
      </c>
      <c r="P25" s="16"/>
      <c r="Q25" s="17"/>
      <c r="R25" s="16">
        <v>0</v>
      </c>
      <c r="S25" s="16">
        <v>0</v>
      </c>
      <c r="T25" s="16"/>
      <c r="U25" s="17"/>
      <c r="V25" s="12"/>
      <c r="W25" s="16">
        <v>0</v>
      </c>
      <c r="X25" s="16"/>
      <c r="Y25" s="18">
        <v>2000000</v>
      </c>
      <c r="Z25" s="19">
        <v>0</v>
      </c>
      <c r="AA25" s="16">
        <v>2000000</v>
      </c>
      <c r="AB25" s="12" t="s">
        <v>58</v>
      </c>
      <c r="AC25" s="12" t="s">
        <v>69</v>
      </c>
      <c r="AD25" s="12"/>
      <c r="AF25" s="10" t="e">
        <v>#N/A</v>
      </c>
      <c r="AG25" s="10"/>
      <c r="AH25" s="10"/>
    </row>
    <row r="26" spans="1:34" ht="13.5" x14ac:dyDescent="0.25">
      <c r="A26" s="11">
        <v>46175</v>
      </c>
      <c r="B26" s="12" t="s">
        <v>57</v>
      </c>
      <c r="C26" s="13"/>
      <c r="D26" s="14">
        <v>4251</v>
      </c>
      <c r="E26" s="15"/>
      <c r="F26" s="12">
        <v>110</v>
      </c>
      <c r="G26" s="11">
        <v>46507</v>
      </c>
      <c r="H26" s="16">
        <v>2000000</v>
      </c>
      <c r="I26" s="12">
        <v>395</v>
      </c>
      <c r="J26" s="16">
        <v>0</v>
      </c>
      <c r="K26" s="16">
        <v>2000000</v>
      </c>
      <c r="L26" s="16"/>
      <c r="M26" s="12"/>
      <c r="N26" s="16">
        <v>0</v>
      </c>
      <c r="O26" s="16">
        <v>0</v>
      </c>
      <c r="P26" s="16"/>
      <c r="Q26" s="17"/>
      <c r="R26" s="16">
        <v>0</v>
      </c>
      <c r="S26" s="16">
        <v>0</v>
      </c>
      <c r="T26" s="16"/>
      <c r="U26" s="12"/>
      <c r="V26" s="12"/>
      <c r="W26" s="16">
        <v>0</v>
      </c>
      <c r="X26" s="16"/>
      <c r="Y26" s="18">
        <v>2000000</v>
      </c>
      <c r="Z26" s="19">
        <v>0</v>
      </c>
      <c r="AA26" s="19">
        <v>2000000</v>
      </c>
      <c r="AB26" s="12" t="s">
        <v>58</v>
      </c>
      <c r="AC26" s="12" t="s">
        <v>67</v>
      </c>
      <c r="AD26" s="12" t="s">
        <v>40</v>
      </c>
      <c r="AF26" s="10" t="e">
        <v>#N/A</v>
      </c>
      <c r="AG26" s="10"/>
      <c r="AH26" s="10"/>
    </row>
    <row r="27" spans="1:34" ht="13.5" x14ac:dyDescent="0.25">
      <c r="A27" s="11">
        <v>46175</v>
      </c>
      <c r="B27" s="12" t="s">
        <v>57</v>
      </c>
      <c r="C27" s="13"/>
      <c r="D27" s="14">
        <v>4227</v>
      </c>
      <c r="E27" s="15"/>
      <c r="F27" s="12">
        <v>110</v>
      </c>
      <c r="G27" s="11">
        <v>46203</v>
      </c>
      <c r="H27" s="16">
        <v>23000000</v>
      </c>
      <c r="I27" s="12">
        <v>1080</v>
      </c>
      <c r="J27" s="16">
        <v>1000000</v>
      </c>
      <c r="K27" s="16">
        <v>22000000</v>
      </c>
      <c r="L27" s="16">
        <v>10000000</v>
      </c>
      <c r="M27" s="12">
        <v>90</v>
      </c>
      <c r="N27" s="16">
        <v>1208698.42</v>
      </c>
      <c r="O27" s="16">
        <v>8791301.5800000001</v>
      </c>
      <c r="P27" s="20">
        <v>12000000</v>
      </c>
      <c r="Q27" s="17" t="s">
        <v>41</v>
      </c>
      <c r="R27" s="16">
        <v>6888.0576063728231</v>
      </c>
      <c r="S27" s="16">
        <v>11993111.942393627</v>
      </c>
      <c r="T27" s="16"/>
      <c r="U27" s="12"/>
      <c r="V27" s="12"/>
      <c r="W27" s="16">
        <v>0</v>
      </c>
      <c r="X27" s="16"/>
      <c r="Y27" s="18">
        <v>45000000</v>
      </c>
      <c r="Z27" s="19">
        <v>2215586.4776063729</v>
      </c>
      <c r="AA27" s="19">
        <v>42784413.522393629</v>
      </c>
      <c r="AB27" s="12" t="s">
        <v>58</v>
      </c>
      <c r="AC27" s="12" t="s">
        <v>60</v>
      </c>
      <c r="AD27" s="12"/>
      <c r="AF27" s="10" t="e">
        <v>#N/A</v>
      </c>
      <c r="AG27" s="10"/>
      <c r="AH27" s="10"/>
    </row>
    <row r="28" spans="1:34" ht="13.5" x14ac:dyDescent="0.25">
      <c r="A28" s="11">
        <v>46175</v>
      </c>
      <c r="B28" s="12" t="s">
        <v>57</v>
      </c>
      <c r="C28" s="13"/>
      <c r="D28" s="14">
        <v>4246</v>
      </c>
      <c r="E28" s="15"/>
      <c r="F28" s="12">
        <v>110</v>
      </c>
      <c r="G28" s="11">
        <v>46507</v>
      </c>
      <c r="H28" s="16">
        <v>1000000</v>
      </c>
      <c r="I28" s="12">
        <v>395</v>
      </c>
      <c r="J28" s="16">
        <v>0</v>
      </c>
      <c r="K28" s="16">
        <v>1000000</v>
      </c>
      <c r="L28" s="16"/>
      <c r="M28" s="12"/>
      <c r="N28" s="16">
        <v>0</v>
      </c>
      <c r="O28" s="16">
        <v>0</v>
      </c>
      <c r="P28" s="16"/>
      <c r="Q28" s="17"/>
      <c r="R28" s="16">
        <v>0</v>
      </c>
      <c r="S28" s="16">
        <v>0</v>
      </c>
      <c r="T28" s="16"/>
      <c r="U28" s="12"/>
      <c r="V28" s="12"/>
      <c r="W28" s="16">
        <v>0</v>
      </c>
      <c r="X28" s="16"/>
      <c r="Y28" s="18">
        <v>1000000</v>
      </c>
      <c r="Z28" s="19">
        <v>0</v>
      </c>
      <c r="AA28" s="19">
        <v>1000000</v>
      </c>
      <c r="AB28" s="12" t="s">
        <v>58</v>
      </c>
      <c r="AC28" s="12" t="s">
        <v>61</v>
      </c>
      <c r="AD28" s="12"/>
      <c r="AF28" s="10" t="e">
        <v>#N/A</v>
      </c>
      <c r="AG28" s="10"/>
      <c r="AH28" s="10"/>
    </row>
    <row r="29" spans="1:34" ht="13.5" x14ac:dyDescent="0.25">
      <c r="A29" s="11">
        <v>46175</v>
      </c>
      <c r="B29" s="12" t="s">
        <v>57</v>
      </c>
      <c r="C29" s="13"/>
      <c r="D29" s="14">
        <v>4216</v>
      </c>
      <c r="E29" s="15"/>
      <c r="F29" s="12">
        <v>110</v>
      </c>
      <c r="G29" s="11">
        <v>46507</v>
      </c>
      <c r="H29" s="16">
        <v>21000000</v>
      </c>
      <c r="I29" s="12">
        <v>1440</v>
      </c>
      <c r="J29" s="16">
        <v>5286898.32531479</v>
      </c>
      <c r="K29" s="16">
        <v>15713101.67468521</v>
      </c>
      <c r="L29" s="16">
        <v>5000000</v>
      </c>
      <c r="M29" s="12">
        <v>390</v>
      </c>
      <c r="N29" s="16">
        <v>0</v>
      </c>
      <c r="O29" s="16">
        <v>5000000</v>
      </c>
      <c r="P29" s="20">
        <v>10000000</v>
      </c>
      <c r="Q29" s="17" t="s">
        <v>41</v>
      </c>
      <c r="R29" s="16">
        <v>33909.081517742845</v>
      </c>
      <c r="S29" s="16">
        <v>9966090.9184822571</v>
      </c>
      <c r="T29" s="16"/>
      <c r="U29" s="12"/>
      <c r="V29" s="12"/>
      <c r="W29" s="16">
        <v>0</v>
      </c>
      <c r="X29" s="16"/>
      <c r="Y29" s="18">
        <v>36000000</v>
      </c>
      <c r="Z29" s="19">
        <v>5320807.406832533</v>
      </c>
      <c r="AA29" s="19">
        <v>30679192.593167469</v>
      </c>
      <c r="AB29" s="12" t="s">
        <v>58</v>
      </c>
      <c r="AC29" s="12" t="s">
        <v>61</v>
      </c>
      <c r="AD29" s="12"/>
      <c r="AF29" s="10" t="e">
        <v>#N/A</v>
      </c>
      <c r="AG29" s="10"/>
      <c r="AH29" s="10"/>
    </row>
    <row r="30" spans="1:34" ht="13.5" x14ac:dyDescent="0.25">
      <c r="A30" s="11">
        <v>46175</v>
      </c>
      <c r="B30" s="12" t="s">
        <v>57</v>
      </c>
      <c r="C30" s="13"/>
      <c r="D30" s="14">
        <v>4254</v>
      </c>
      <c r="E30" s="15"/>
      <c r="F30" s="12">
        <v>110</v>
      </c>
      <c r="G30" s="11">
        <v>46507</v>
      </c>
      <c r="H30" s="16">
        <v>93000000</v>
      </c>
      <c r="I30" s="12">
        <v>730</v>
      </c>
      <c r="J30" s="16">
        <v>78397770</v>
      </c>
      <c r="K30" s="16">
        <v>14602230</v>
      </c>
      <c r="L30" s="16">
        <v>12000000</v>
      </c>
      <c r="M30" s="12">
        <v>365</v>
      </c>
      <c r="N30" s="16">
        <v>-1874146.63</v>
      </c>
      <c r="O30" s="16">
        <v>12000000</v>
      </c>
      <c r="P30" s="16"/>
      <c r="Q30" s="17"/>
      <c r="R30" s="16">
        <v>0</v>
      </c>
      <c r="S30" s="16">
        <v>0</v>
      </c>
      <c r="T30" s="16"/>
      <c r="U30" s="12"/>
      <c r="V30" s="12"/>
      <c r="W30" s="16">
        <v>0</v>
      </c>
      <c r="X30" s="16"/>
      <c r="Y30" s="18">
        <v>105000000</v>
      </c>
      <c r="Z30" s="19">
        <v>76523623.370000005</v>
      </c>
      <c r="AA30" s="19">
        <v>28476376.629999995</v>
      </c>
      <c r="AB30" s="12" t="s">
        <v>58</v>
      </c>
      <c r="AC30" s="12" t="s">
        <v>61</v>
      </c>
      <c r="AD30" s="12" t="s">
        <v>42</v>
      </c>
      <c r="AF30" s="10" t="e">
        <v>#N/A</v>
      </c>
      <c r="AG30" s="10"/>
      <c r="AH30" s="10"/>
    </row>
    <row r="31" spans="1:34" ht="13.5" x14ac:dyDescent="0.25">
      <c r="A31" s="11">
        <v>46175</v>
      </c>
      <c r="B31" s="12" t="s">
        <v>57</v>
      </c>
      <c r="C31" s="13"/>
      <c r="D31" s="14">
        <v>4357</v>
      </c>
      <c r="E31" s="15"/>
      <c r="F31" s="12">
        <v>111</v>
      </c>
      <c r="G31" s="11">
        <v>46326</v>
      </c>
      <c r="H31" s="16"/>
      <c r="I31" s="12"/>
      <c r="J31" s="16">
        <v>0</v>
      </c>
      <c r="K31" s="16">
        <v>0</v>
      </c>
      <c r="L31" s="16">
        <v>500000</v>
      </c>
      <c r="M31" s="12">
        <v>180</v>
      </c>
      <c r="N31" s="16">
        <v>11717.1</v>
      </c>
      <c r="O31" s="16">
        <v>488282.9</v>
      </c>
      <c r="P31" s="16"/>
      <c r="Q31" s="17"/>
      <c r="R31" s="16">
        <v>0</v>
      </c>
      <c r="S31" s="16">
        <v>0</v>
      </c>
      <c r="T31" s="16"/>
      <c r="U31" s="12"/>
      <c r="V31" s="12"/>
      <c r="W31" s="16">
        <v>0</v>
      </c>
      <c r="X31" s="16"/>
      <c r="Y31" s="18">
        <v>500000</v>
      </c>
      <c r="Z31" s="19">
        <v>11717.1</v>
      </c>
      <c r="AA31" s="19">
        <v>488282.9</v>
      </c>
      <c r="AB31" s="12"/>
      <c r="AC31" s="12" t="s">
        <v>70</v>
      </c>
      <c r="AD31" s="12"/>
      <c r="AF31" s="10" t="e">
        <v>#N/A</v>
      </c>
      <c r="AG31" s="10"/>
      <c r="AH31" s="10"/>
    </row>
    <row r="32" spans="1:34" ht="13.5" x14ac:dyDescent="0.25">
      <c r="A32" s="11">
        <v>46175</v>
      </c>
      <c r="B32" s="12" t="s">
        <v>57</v>
      </c>
      <c r="C32" s="13"/>
      <c r="D32" s="14">
        <v>4282</v>
      </c>
      <c r="E32" s="15"/>
      <c r="F32" s="12">
        <v>111</v>
      </c>
      <c r="G32" s="11">
        <v>46326</v>
      </c>
      <c r="H32" s="16"/>
      <c r="I32" s="12"/>
      <c r="J32" s="16">
        <v>0</v>
      </c>
      <c r="K32" s="16">
        <v>0</v>
      </c>
      <c r="L32" s="16">
        <v>40000000</v>
      </c>
      <c r="M32" s="12">
        <v>30</v>
      </c>
      <c r="N32" s="16">
        <v>34259317.600000001</v>
      </c>
      <c r="O32" s="16">
        <v>5740682.3999999985</v>
      </c>
      <c r="P32" s="20">
        <v>30000000</v>
      </c>
      <c r="Q32" s="17" t="s">
        <v>43</v>
      </c>
      <c r="R32" s="16">
        <v>4351450.9621697636</v>
      </c>
      <c r="S32" s="16">
        <v>25648549.037830237</v>
      </c>
      <c r="T32" s="16"/>
      <c r="U32" s="12"/>
      <c r="V32" s="12"/>
      <c r="W32" s="16">
        <v>0</v>
      </c>
      <c r="X32" s="16">
        <v>2000000</v>
      </c>
      <c r="Y32" s="18">
        <v>72000000</v>
      </c>
      <c r="Z32" s="19">
        <v>38610768.562169768</v>
      </c>
      <c r="AA32" s="19">
        <v>33389231.437830232</v>
      </c>
      <c r="AB32" s="12" t="s">
        <v>58</v>
      </c>
      <c r="AC32" s="12" t="s">
        <v>61</v>
      </c>
      <c r="AD32" s="12"/>
      <c r="AF32" s="10">
        <v>30000000</v>
      </c>
      <c r="AG32" s="10"/>
      <c r="AH32" s="10"/>
    </row>
    <row r="33" spans="1:34" ht="13.5" x14ac:dyDescent="0.25">
      <c r="A33" s="11">
        <v>46175</v>
      </c>
      <c r="B33" s="12" t="s">
        <v>57</v>
      </c>
      <c r="C33" s="13"/>
      <c r="D33" s="14">
        <v>4222</v>
      </c>
      <c r="E33" s="15"/>
      <c r="F33" s="12">
        <v>111</v>
      </c>
      <c r="G33" s="11">
        <v>46326</v>
      </c>
      <c r="H33" s="16">
        <v>2000000</v>
      </c>
      <c r="I33" s="12">
        <v>730</v>
      </c>
      <c r="J33" s="16">
        <v>0</v>
      </c>
      <c r="K33" s="16">
        <v>2000000</v>
      </c>
      <c r="L33" s="16">
        <v>40000000</v>
      </c>
      <c r="M33" s="12">
        <v>30</v>
      </c>
      <c r="N33" s="16">
        <v>21710682.619999997</v>
      </c>
      <c r="O33" s="16">
        <v>18289317.380000003</v>
      </c>
      <c r="P33" s="20">
        <v>20000000</v>
      </c>
      <c r="Q33" s="17" t="s">
        <v>44</v>
      </c>
      <c r="R33" s="16">
        <v>8579271.9286046028</v>
      </c>
      <c r="S33" s="16">
        <v>11420728.071395397</v>
      </c>
      <c r="T33" s="16"/>
      <c r="U33" s="12"/>
      <c r="V33" s="12"/>
      <c r="W33" s="16">
        <v>0</v>
      </c>
      <c r="X33" s="16">
        <v>1000000</v>
      </c>
      <c r="Y33" s="18">
        <v>63000000</v>
      </c>
      <c r="Z33" s="19">
        <v>30289954.5486046</v>
      </c>
      <c r="AA33" s="19">
        <v>32710045.4513954</v>
      </c>
      <c r="AB33" s="12" t="s">
        <v>58</v>
      </c>
      <c r="AC33" s="12" t="s">
        <v>59</v>
      </c>
      <c r="AD33" s="12"/>
      <c r="AF33" s="10" t="e">
        <v>#N/A</v>
      </c>
      <c r="AG33" s="10"/>
      <c r="AH33" s="10"/>
    </row>
    <row r="34" spans="1:34" ht="13.5" x14ac:dyDescent="0.25">
      <c r="A34" s="11">
        <v>46175</v>
      </c>
      <c r="B34" s="12" t="s">
        <v>57</v>
      </c>
      <c r="C34" s="13"/>
      <c r="D34" s="14">
        <v>4256</v>
      </c>
      <c r="E34" s="15"/>
      <c r="F34" s="12">
        <v>111</v>
      </c>
      <c r="G34" s="11">
        <v>46326</v>
      </c>
      <c r="H34" s="16">
        <v>40000000</v>
      </c>
      <c r="I34" s="12">
        <v>90</v>
      </c>
      <c r="J34" s="16">
        <v>0</v>
      </c>
      <c r="K34" s="16">
        <v>40000000</v>
      </c>
      <c r="L34" s="16"/>
      <c r="M34" s="12"/>
      <c r="N34" s="16">
        <v>0</v>
      </c>
      <c r="O34" s="16">
        <v>0</v>
      </c>
      <c r="P34" s="16"/>
      <c r="Q34" s="17"/>
      <c r="R34" s="16">
        <v>0</v>
      </c>
      <c r="S34" s="16">
        <v>0</v>
      </c>
      <c r="T34" s="16"/>
      <c r="U34" s="12"/>
      <c r="V34" s="12"/>
      <c r="W34" s="16">
        <v>0</v>
      </c>
      <c r="X34" s="16"/>
      <c r="Y34" s="18">
        <v>40000000</v>
      </c>
      <c r="Z34" s="19">
        <v>0</v>
      </c>
      <c r="AA34" s="19">
        <v>40000000</v>
      </c>
      <c r="AB34" s="12" t="s">
        <v>58</v>
      </c>
      <c r="AC34" s="12" t="s">
        <v>59</v>
      </c>
      <c r="AD34" s="12"/>
      <c r="AF34" s="10" t="e">
        <v>#N/A</v>
      </c>
      <c r="AG34" s="10"/>
      <c r="AH34" s="10"/>
    </row>
    <row r="35" spans="1:34" ht="13.5" x14ac:dyDescent="0.25">
      <c r="A35" s="11">
        <v>46175</v>
      </c>
      <c r="B35" s="12" t="s">
        <v>57</v>
      </c>
      <c r="C35" s="13"/>
      <c r="D35" s="14">
        <v>111</v>
      </c>
      <c r="E35" s="15"/>
      <c r="F35" s="12">
        <v>111</v>
      </c>
      <c r="G35" s="11">
        <v>46326</v>
      </c>
      <c r="H35" s="16"/>
      <c r="I35" s="12"/>
      <c r="J35" s="16">
        <v>0</v>
      </c>
      <c r="K35" s="16">
        <v>0</v>
      </c>
      <c r="L35" s="16"/>
      <c r="M35" s="12"/>
      <c r="N35" s="16">
        <v>0</v>
      </c>
      <c r="O35" s="16">
        <v>0</v>
      </c>
      <c r="P35" s="20">
        <v>40000000</v>
      </c>
      <c r="Q35" s="17" t="s">
        <v>45</v>
      </c>
      <c r="R35" s="16">
        <v>4491598.6726257382</v>
      </c>
      <c r="S35" s="16">
        <v>35508401.327374265</v>
      </c>
      <c r="T35" s="16"/>
      <c r="U35" s="12"/>
      <c r="V35" s="12"/>
      <c r="W35" s="16">
        <v>0</v>
      </c>
      <c r="X35" s="16">
        <v>2000000</v>
      </c>
      <c r="Y35" s="18">
        <v>42000000</v>
      </c>
      <c r="Z35" s="19">
        <v>4491598.6726257382</v>
      </c>
      <c r="AA35" s="19">
        <v>37508401.327374265</v>
      </c>
      <c r="AB35" s="12" t="s">
        <v>58</v>
      </c>
      <c r="AC35" s="12" t="s">
        <v>59</v>
      </c>
      <c r="AD35" s="12"/>
      <c r="AF35" s="10" t="e">
        <v>#N/A</v>
      </c>
      <c r="AG35" s="10"/>
      <c r="AH35" s="10"/>
    </row>
    <row r="36" spans="1:34" ht="13.5" x14ac:dyDescent="0.25">
      <c r="A36" s="11">
        <v>46175</v>
      </c>
      <c r="B36" s="12" t="s">
        <v>57</v>
      </c>
      <c r="C36" s="13"/>
      <c r="D36" s="14">
        <v>348</v>
      </c>
      <c r="E36" s="15"/>
      <c r="F36" s="12">
        <v>111</v>
      </c>
      <c r="G36" s="11">
        <v>46203</v>
      </c>
      <c r="H36" s="16">
        <v>2000000</v>
      </c>
      <c r="I36" s="12">
        <v>1080</v>
      </c>
      <c r="J36" s="16">
        <v>0</v>
      </c>
      <c r="K36" s="16">
        <v>2000000</v>
      </c>
      <c r="L36" s="16"/>
      <c r="M36" s="12"/>
      <c r="N36" s="16">
        <v>0</v>
      </c>
      <c r="O36" s="16">
        <v>0</v>
      </c>
      <c r="P36" s="20">
        <v>5000000</v>
      </c>
      <c r="Q36" s="17" t="s">
        <v>46</v>
      </c>
      <c r="R36" s="16">
        <v>0</v>
      </c>
      <c r="S36" s="16">
        <v>5000000</v>
      </c>
      <c r="T36" s="16"/>
      <c r="U36" s="12"/>
      <c r="V36" s="12"/>
      <c r="W36" s="16">
        <v>0</v>
      </c>
      <c r="X36" s="16"/>
      <c r="Y36" s="18">
        <v>7000000</v>
      </c>
      <c r="Z36" s="19">
        <v>0</v>
      </c>
      <c r="AA36" s="19">
        <v>7000000</v>
      </c>
      <c r="AB36" s="12" t="s">
        <v>58</v>
      </c>
      <c r="AC36" s="12" t="s">
        <v>59</v>
      </c>
      <c r="AD36" s="12"/>
      <c r="AF36" s="10" t="e">
        <v>#N/A</v>
      </c>
      <c r="AG36" s="10"/>
      <c r="AH36" s="10"/>
    </row>
    <row r="37" spans="1:34" ht="13.5" x14ac:dyDescent="0.25">
      <c r="A37" s="11">
        <v>46175</v>
      </c>
      <c r="B37" s="12" t="s">
        <v>57</v>
      </c>
      <c r="C37" s="13"/>
      <c r="D37" s="14">
        <v>4340</v>
      </c>
      <c r="E37" s="15"/>
      <c r="F37" s="12">
        <v>111</v>
      </c>
      <c r="G37" s="11">
        <v>46418</v>
      </c>
      <c r="H37" s="16">
        <v>5000000</v>
      </c>
      <c r="I37" s="12">
        <v>395</v>
      </c>
      <c r="J37" s="16">
        <v>0</v>
      </c>
      <c r="K37" s="16">
        <v>5000000</v>
      </c>
      <c r="L37" s="16"/>
      <c r="M37" s="12"/>
      <c r="N37" s="16">
        <v>0</v>
      </c>
      <c r="O37" s="16">
        <v>0</v>
      </c>
      <c r="P37" s="16"/>
      <c r="Q37" s="17"/>
      <c r="R37" s="16">
        <v>0</v>
      </c>
      <c r="S37" s="16">
        <v>0</v>
      </c>
      <c r="T37" s="16"/>
      <c r="U37" s="17"/>
      <c r="V37" s="12"/>
      <c r="W37" s="16">
        <v>0</v>
      </c>
      <c r="X37" s="16"/>
      <c r="Y37" s="18">
        <v>5000000</v>
      </c>
      <c r="Z37" s="19">
        <v>0</v>
      </c>
      <c r="AA37" s="16">
        <v>5000000</v>
      </c>
      <c r="AB37" s="12" t="s">
        <v>58</v>
      </c>
      <c r="AC37" s="12" t="s">
        <v>71</v>
      </c>
      <c r="AD37" s="12" t="s">
        <v>47</v>
      </c>
      <c r="AF37" s="10" t="e">
        <v>#N/A</v>
      </c>
      <c r="AG37" s="10"/>
      <c r="AH37" s="10"/>
    </row>
    <row r="38" spans="1:34" ht="13.5" x14ac:dyDescent="0.25">
      <c r="A38" s="11">
        <v>46175</v>
      </c>
      <c r="B38" s="12" t="s">
        <v>57</v>
      </c>
      <c r="C38" s="13"/>
      <c r="D38" s="14">
        <v>4258</v>
      </c>
      <c r="E38" s="15"/>
      <c r="F38" s="12">
        <v>111</v>
      </c>
      <c r="G38" s="11">
        <v>46326</v>
      </c>
      <c r="H38" s="16">
        <v>9000000</v>
      </c>
      <c r="I38" s="12">
        <v>730</v>
      </c>
      <c r="J38" s="16">
        <v>2500000</v>
      </c>
      <c r="K38" s="16">
        <v>6500000</v>
      </c>
      <c r="L38" s="16">
        <v>20000000</v>
      </c>
      <c r="M38" s="12">
        <v>30</v>
      </c>
      <c r="N38" s="16">
        <v>4667291.12</v>
      </c>
      <c r="O38" s="16">
        <v>15332708.879999999</v>
      </c>
      <c r="P38" s="20">
        <v>20000000</v>
      </c>
      <c r="Q38" s="17" t="s">
        <v>48</v>
      </c>
      <c r="R38" s="16">
        <v>3077810.0799119328</v>
      </c>
      <c r="S38" s="16">
        <v>16922189.920088068</v>
      </c>
      <c r="T38" s="16"/>
      <c r="U38" s="12"/>
      <c r="V38" s="12"/>
      <c r="W38" s="16">
        <v>0</v>
      </c>
      <c r="X38" s="16">
        <v>1000000</v>
      </c>
      <c r="Y38" s="18">
        <v>50000000</v>
      </c>
      <c r="Z38" s="19">
        <v>10245101.199911933</v>
      </c>
      <c r="AA38" s="19">
        <v>39754898.800088063</v>
      </c>
      <c r="AB38" s="12" t="s">
        <v>58</v>
      </c>
      <c r="AC38" s="12" t="s">
        <v>72</v>
      </c>
      <c r="AD38" s="12" t="s">
        <v>49</v>
      </c>
      <c r="AF38" s="10" t="e">
        <v>#N/A</v>
      </c>
      <c r="AG38" s="10"/>
      <c r="AH38" s="10"/>
    </row>
    <row r="39" spans="1:34" ht="13.5" x14ac:dyDescent="0.25">
      <c r="A39" s="11">
        <v>46175</v>
      </c>
      <c r="B39" s="12" t="s">
        <v>57</v>
      </c>
      <c r="C39" s="13"/>
      <c r="D39" s="14">
        <v>50722</v>
      </c>
      <c r="E39" s="15"/>
      <c r="F39" s="12">
        <v>111</v>
      </c>
      <c r="G39" s="11">
        <v>46326</v>
      </c>
      <c r="H39" s="16"/>
      <c r="I39" s="12"/>
      <c r="J39" s="16">
        <v>0</v>
      </c>
      <c r="K39" s="16">
        <v>0</v>
      </c>
      <c r="L39" s="16"/>
      <c r="M39" s="12"/>
      <c r="N39" s="16">
        <v>0</v>
      </c>
      <c r="O39" s="16">
        <v>0</v>
      </c>
      <c r="P39" s="20">
        <v>40000000</v>
      </c>
      <c r="Q39" s="17" t="s">
        <v>50</v>
      </c>
      <c r="R39" s="16">
        <v>8069619.8604140086</v>
      </c>
      <c r="S39" s="16">
        <v>31930380.13958599</v>
      </c>
      <c r="T39" s="16"/>
      <c r="U39" s="12"/>
      <c r="V39" s="12"/>
      <c r="W39" s="16">
        <v>0</v>
      </c>
      <c r="X39" s="16">
        <v>3000000</v>
      </c>
      <c r="Y39" s="18">
        <v>43000000</v>
      </c>
      <c r="Z39" s="19">
        <v>8069619.8604140086</v>
      </c>
      <c r="AA39" s="19">
        <v>34930380.139585994</v>
      </c>
      <c r="AB39" s="12" t="s">
        <v>58</v>
      </c>
      <c r="AC39" s="12" t="s">
        <v>61</v>
      </c>
      <c r="AD39" s="12"/>
      <c r="AF39" s="10" t="e">
        <v>#N/A</v>
      </c>
      <c r="AG39" s="10"/>
      <c r="AH39" s="10"/>
    </row>
    <row r="40" spans="1:34" ht="13.5" x14ac:dyDescent="0.25">
      <c r="A40" s="11">
        <v>46175</v>
      </c>
      <c r="B40" s="12" t="s">
        <v>57</v>
      </c>
      <c r="C40" s="13"/>
      <c r="D40" s="14">
        <v>4056</v>
      </c>
      <c r="E40" s="15"/>
      <c r="F40" s="12">
        <v>111</v>
      </c>
      <c r="G40" s="11">
        <v>46326</v>
      </c>
      <c r="H40" s="16"/>
      <c r="I40" s="12"/>
      <c r="J40" s="16">
        <v>0</v>
      </c>
      <c r="K40" s="16">
        <v>0</v>
      </c>
      <c r="L40" s="16">
        <v>79000000</v>
      </c>
      <c r="M40" s="12">
        <v>30</v>
      </c>
      <c r="N40" s="16">
        <v>22743267.07</v>
      </c>
      <c r="O40" s="16">
        <v>56256732.93</v>
      </c>
      <c r="P40" s="16"/>
      <c r="Q40" s="17"/>
      <c r="R40" s="16">
        <v>0</v>
      </c>
      <c r="S40" s="16">
        <v>0</v>
      </c>
      <c r="T40" s="16"/>
      <c r="U40" s="12"/>
      <c r="V40" s="12"/>
      <c r="W40" s="16">
        <v>0</v>
      </c>
      <c r="X40" s="16">
        <v>1000000</v>
      </c>
      <c r="Y40" s="18">
        <v>80000000</v>
      </c>
      <c r="Z40" s="19">
        <v>22743267.07</v>
      </c>
      <c r="AA40" s="19">
        <v>57256732.93</v>
      </c>
      <c r="AB40" s="12" t="s">
        <v>58</v>
      </c>
      <c r="AC40" s="12" t="s">
        <v>66</v>
      </c>
      <c r="AD40" s="12"/>
      <c r="AF40" s="10">
        <v>0</v>
      </c>
      <c r="AG40" s="10"/>
      <c r="AH40" s="10"/>
    </row>
    <row r="41" spans="1:34" ht="13.5" x14ac:dyDescent="0.25">
      <c r="A41" s="11">
        <v>46175</v>
      </c>
      <c r="B41" s="12" t="s">
        <v>57</v>
      </c>
      <c r="C41" s="13"/>
      <c r="D41" s="14">
        <v>363</v>
      </c>
      <c r="E41" s="15"/>
      <c r="F41" s="12">
        <v>111</v>
      </c>
      <c r="G41" s="11">
        <v>46326</v>
      </c>
      <c r="H41" s="16">
        <v>4000000</v>
      </c>
      <c r="I41" s="12">
        <v>390</v>
      </c>
      <c r="J41" s="16">
        <v>0</v>
      </c>
      <c r="K41" s="16">
        <v>4000000</v>
      </c>
      <c r="L41" s="16">
        <v>40000000</v>
      </c>
      <c r="M41" s="12">
        <v>30</v>
      </c>
      <c r="N41" s="16">
        <v>5691447.2000000002</v>
      </c>
      <c r="O41" s="16">
        <v>34308552.799999997</v>
      </c>
      <c r="P41" s="20">
        <v>5000000</v>
      </c>
      <c r="Q41" s="17" t="s">
        <v>48</v>
      </c>
      <c r="R41" s="16">
        <v>2818414.4778102748</v>
      </c>
      <c r="S41" s="16">
        <v>2181585.5221897252</v>
      </c>
      <c r="T41" s="16"/>
      <c r="U41" s="12"/>
      <c r="V41" s="12"/>
      <c r="W41" s="16">
        <v>0</v>
      </c>
      <c r="X41" s="16">
        <v>1000000</v>
      </c>
      <c r="Y41" s="18">
        <v>50000000</v>
      </c>
      <c r="Z41" s="19">
        <v>8509861.6778102741</v>
      </c>
      <c r="AA41" s="19">
        <v>41490138.322189726</v>
      </c>
      <c r="AB41" s="12" t="s">
        <v>58</v>
      </c>
      <c r="AC41" s="12" t="s">
        <v>59</v>
      </c>
      <c r="AD41" s="12" t="s">
        <v>49</v>
      </c>
      <c r="AF41" s="10" t="e">
        <v>#N/A</v>
      </c>
      <c r="AG41" s="10"/>
      <c r="AH41" s="10"/>
    </row>
    <row r="42" spans="1:34" ht="13.5" x14ac:dyDescent="0.25">
      <c r="A42" s="11">
        <v>46175</v>
      </c>
      <c r="B42" s="12" t="s">
        <v>57</v>
      </c>
      <c r="C42" s="13"/>
      <c r="D42" s="14">
        <v>4376</v>
      </c>
      <c r="E42" s="15"/>
      <c r="F42" s="12">
        <v>111</v>
      </c>
      <c r="G42" s="11">
        <v>46477</v>
      </c>
      <c r="H42" s="16"/>
      <c r="I42" s="12"/>
      <c r="J42" s="16">
        <v>0</v>
      </c>
      <c r="K42" s="16">
        <v>0</v>
      </c>
      <c r="L42" s="16">
        <v>10000000</v>
      </c>
      <c r="M42" s="12">
        <v>90</v>
      </c>
      <c r="N42" s="16">
        <v>1040789.62</v>
      </c>
      <c r="O42" s="16">
        <v>8959210.3800000008</v>
      </c>
      <c r="P42" s="16"/>
      <c r="Q42" s="17"/>
      <c r="R42" s="16">
        <v>0</v>
      </c>
      <c r="S42" s="16">
        <v>0</v>
      </c>
      <c r="T42" s="16"/>
      <c r="U42" s="17"/>
      <c r="V42" s="12"/>
      <c r="W42" s="16">
        <v>0</v>
      </c>
      <c r="X42" s="16"/>
      <c r="Y42" s="18">
        <v>10000000</v>
      </c>
      <c r="Z42" s="19">
        <v>1040789.62</v>
      </c>
      <c r="AA42" s="16">
        <v>8959210.3800000008</v>
      </c>
      <c r="AB42" s="12"/>
      <c r="AC42" s="12" t="s">
        <v>70</v>
      </c>
      <c r="AD42" s="12"/>
      <c r="AF42" s="10" t="e">
        <v>#N/A</v>
      </c>
      <c r="AG42" s="10"/>
      <c r="AH42" s="10"/>
    </row>
    <row r="43" spans="1:34" ht="13.5" x14ac:dyDescent="0.25">
      <c r="A43" s="11">
        <v>46175</v>
      </c>
      <c r="B43" s="12" t="s">
        <v>57</v>
      </c>
      <c r="C43" s="13"/>
      <c r="D43" s="14">
        <v>4379</v>
      </c>
      <c r="E43" s="15"/>
      <c r="F43" s="12">
        <v>111</v>
      </c>
      <c r="G43" s="26">
        <v>46326</v>
      </c>
      <c r="H43" s="16"/>
      <c r="I43" s="11"/>
      <c r="J43" s="16">
        <v>0</v>
      </c>
      <c r="K43" s="16">
        <v>0</v>
      </c>
      <c r="L43" s="16"/>
      <c r="M43" s="12"/>
      <c r="N43" s="16">
        <v>0</v>
      </c>
      <c r="O43" s="16">
        <v>0</v>
      </c>
      <c r="P43" s="16"/>
      <c r="Q43" s="17"/>
      <c r="R43" s="16">
        <v>0</v>
      </c>
      <c r="S43" s="16">
        <v>0</v>
      </c>
      <c r="T43" s="16"/>
      <c r="U43" s="17"/>
      <c r="V43" s="12"/>
      <c r="W43" s="16">
        <v>0</v>
      </c>
      <c r="X43" s="16">
        <v>3000000</v>
      </c>
      <c r="Y43" s="18">
        <v>3000000</v>
      </c>
      <c r="Z43" s="19">
        <v>0</v>
      </c>
      <c r="AA43" s="16">
        <v>3000000</v>
      </c>
      <c r="AB43" s="12"/>
      <c r="AC43" s="12" t="s">
        <v>65</v>
      </c>
      <c r="AD43" s="12"/>
      <c r="AF43" s="10">
        <v>0</v>
      </c>
      <c r="AG43" s="10"/>
      <c r="AH43" s="10"/>
    </row>
    <row r="44" spans="1:34" ht="13.5" x14ac:dyDescent="0.25">
      <c r="A44" s="11">
        <v>46175</v>
      </c>
      <c r="B44" s="12" t="s">
        <v>1</v>
      </c>
      <c r="C44" s="13"/>
      <c r="D44" s="14">
        <v>4348</v>
      </c>
      <c r="E44" s="15"/>
      <c r="F44" s="12">
        <v>111</v>
      </c>
      <c r="G44" s="11">
        <v>46265</v>
      </c>
      <c r="H44" s="16">
        <v>550000</v>
      </c>
      <c r="I44" s="12">
        <v>365</v>
      </c>
      <c r="J44" s="16">
        <v>550000</v>
      </c>
      <c r="K44" s="16">
        <v>0</v>
      </c>
      <c r="L44" s="16"/>
      <c r="M44" s="12"/>
      <c r="N44" s="16">
        <v>0</v>
      </c>
      <c r="O44" s="16">
        <v>0</v>
      </c>
      <c r="P44" s="16"/>
      <c r="Q44" s="17"/>
      <c r="R44" s="16">
        <v>0</v>
      </c>
      <c r="S44" s="16">
        <v>0</v>
      </c>
      <c r="T44" s="16"/>
      <c r="U44" s="17"/>
      <c r="V44" s="12"/>
      <c r="W44" s="16">
        <v>0</v>
      </c>
      <c r="X44" s="16"/>
      <c r="Y44" s="18">
        <v>550000</v>
      </c>
      <c r="Z44" s="19">
        <v>550000</v>
      </c>
      <c r="AA44" s="16">
        <v>0</v>
      </c>
      <c r="AB44" s="12"/>
      <c r="AC44" s="12" t="s">
        <v>65</v>
      </c>
      <c r="AD44" s="12"/>
      <c r="AF44" s="10" t="e">
        <v>#N/A</v>
      </c>
      <c r="AG44" s="10"/>
      <c r="AH44" s="10"/>
    </row>
    <row r="45" spans="1:34" ht="13.5" x14ac:dyDescent="0.25">
      <c r="A45" s="11">
        <v>46175</v>
      </c>
      <c r="B45" s="12" t="s">
        <v>57</v>
      </c>
      <c r="C45" s="13"/>
      <c r="D45" s="14">
        <v>3442</v>
      </c>
      <c r="E45" s="15"/>
      <c r="F45" s="12">
        <v>112</v>
      </c>
      <c r="G45" s="11">
        <v>46446</v>
      </c>
      <c r="H45" s="16">
        <v>10000000</v>
      </c>
      <c r="I45" s="12">
        <v>395</v>
      </c>
      <c r="J45" s="16">
        <v>0</v>
      </c>
      <c r="K45" s="16">
        <v>10000000</v>
      </c>
      <c r="L45" s="16"/>
      <c r="M45" s="12"/>
      <c r="N45" s="16">
        <v>0</v>
      </c>
      <c r="O45" s="16">
        <v>0</v>
      </c>
      <c r="P45" s="20">
        <v>57000000</v>
      </c>
      <c r="Q45" s="17" t="s">
        <v>48</v>
      </c>
      <c r="R45" s="16">
        <v>4315688.534813025</v>
      </c>
      <c r="S45" s="16">
        <v>52684311.465186976</v>
      </c>
      <c r="T45" s="16"/>
      <c r="U45" s="12"/>
      <c r="V45" s="12"/>
      <c r="W45" s="16">
        <v>0</v>
      </c>
      <c r="X45" s="16">
        <v>2000000</v>
      </c>
      <c r="Y45" s="18">
        <v>69000000</v>
      </c>
      <c r="Z45" s="19">
        <v>4315688.534813025</v>
      </c>
      <c r="AA45" s="19">
        <v>64684311.465186976</v>
      </c>
      <c r="AB45" s="12" t="s">
        <v>58</v>
      </c>
      <c r="AC45" s="12" t="s">
        <v>59</v>
      </c>
      <c r="AD45" s="12"/>
      <c r="AF45" s="10" t="e">
        <v>#N/A</v>
      </c>
      <c r="AG45" s="10"/>
      <c r="AH45" s="10"/>
    </row>
    <row r="46" spans="1:34" ht="13.5" x14ac:dyDescent="0.25">
      <c r="A46" s="11">
        <v>46175</v>
      </c>
      <c r="B46" s="12" t="s">
        <v>57</v>
      </c>
      <c r="C46" s="13"/>
      <c r="D46" s="14">
        <v>884</v>
      </c>
      <c r="E46" s="15"/>
      <c r="F46" s="12">
        <v>112</v>
      </c>
      <c r="G46" s="11">
        <v>46446</v>
      </c>
      <c r="H46" s="16">
        <v>20000000</v>
      </c>
      <c r="I46" s="12">
        <v>395</v>
      </c>
      <c r="J46" s="16">
        <v>0</v>
      </c>
      <c r="K46" s="16">
        <v>20000000</v>
      </c>
      <c r="L46" s="16">
        <v>10000000</v>
      </c>
      <c r="M46" s="12">
        <v>390</v>
      </c>
      <c r="N46" s="16">
        <v>0</v>
      </c>
      <c r="O46" s="16">
        <v>10000000</v>
      </c>
      <c r="P46" s="20">
        <v>25000000</v>
      </c>
      <c r="Q46" s="17" t="s">
        <v>31</v>
      </c>
      <c r="R46" s="16">
        <v>2544468.1514907354</v>
      </c>
      <c r="S46" s="16">
        <v>22455531.848509263</v>
      </c>
      <c r="T46" s="16"/>
      <c r="U46" s="12"/>
      <c r="V46" s="12"/>
      <c r="W46" s="16">
        <v>0</v>
      </c>
      <c r="X46" s="16">
        <v>2000000</v>
      </c>
      <c r="Y46" s="18">
        <v>57000000</v>
      </c>
      <c r="Z46" s="19">
        <v>2544468.1514907354</v>
      </c>
      <c r="AA46" s="19">
        <v>54455531.848509267</v>
      </c>
      <c r="AB46" s="12" t="s">
        <v>58</v>
      </c>
      <c r="AC46" s="12" t="s">
        <v>60</v>
      </c>
      <c r="AD46" s="12"/>
      <c r="AF46" s="10" t="e">
        <v>#N/A</v>
      </c>
      <c r="AG46" s="10"/>
      <c r="AH46" s="10"/>
    </row>
    <row r="47" spans="1:34" ht="13.5" x14ac:dyDescent="0.25">
      <c r="A47" s="11">
        <v>46175</v>
      </c>
      <c r="B47" s="12" t="s">
        <v>57</v>
      </c>
      <c r="C47" s="13"/>
      <c r="D47" s="14">
        <v>528</v>
      </c>
      <c r="E47" s="15"/>
      <c r="F47" s="12">
        <v>112</v>
      </c>
      <c r="G47" s="11">
        <v>46446</v>
      </c>
      <c r="H47" s="16">
        <v>25000000</v>
      </c>
      <c r="I47" s="12">
        <v>395</v>
      </c>
      <c r="J47" s="16">
        <v>11649000</v>
      </c>
      <c r="K47" s="16">
        <v>13351000</v>
      </c>
      <c r="L47" s="16"/>
      <c r="M47" s="12"/>
      <c r="N47" s="16">
        <v>0</v>
      </c>
      <c r="O47" s="16">
        <v>0</v>
      </c>
      <c r="P47" s="20">
        <v>8000000</v>
      </c>
      <c r="Q47" s="17" t="s">
        <v>51</v>
      </c>
      <c r="R47" s="16">
        <v>0</v>
      </c>
      <c r="S47" s="16">
        <v>8000000</v>
      </c>
      <c r="T47" s="16"/>
      <c r="U47" s="12"/>
      <c r="V47" s="12"/>
      <c r="W47" s="16">
        <v>0</v>
      </c>
      <c r="X47" s="16">
        <v>2000000</v>
      </c>
      <c r="Y47" s="18">
        <v>35000000</v>
      </c>
      <c r="Z47" s="19">
        <v>11649000</v>
      </c>
      <c r="AA47" s="19">
        <v>23351000</v>
      </c>
      <c r="AB47" s="12" t="s">
        <v>58</v>
      </c>
      <c r="AC47" s="12" t="s">
        <v>61</v>
      </c>
      <c r="AD47" s="12" t="s">
        <v>52</v>
      </c>
      <c r="AF47" s="10" t="e">
        <v>#N/A</v>
      </c>
      <c r="AG47" s="10"/>
      <c r="AH47" s="10"/>
    </row>
    <row r="48" spans="1:34" ht="13.5" x14ac:dyDescent="0.25">
      <c r="A48" s="11">
        <v>46175</v>
      </c>
      <c r="B48" s="12" t="s">
        <v>1</v>
      </c>
      <c r="C48" s="13"/>
      <c r="D48" s="14">
        <v>4306</v>
      </c>
      <c r="E48" s="15"/>
      <c r="F48" s="12">
        <v>113</v>
      </c>
      <c r="G48" s="11">
        <v>46265</v>
      </c>
      <c r="H48" s="16">
        <v>5975000</v>
      </c>
      <c r="I48" s="12">
        <v>1800</v>
      </c>
      <c r="J48" s="16">
        <v>3386361.8</v>
      </c>
      <c r="K48" s="16">
        <v>2588638.2000000002</v>
      </c>
      <c r="L48" s="16"/>
      <c r="M48" s="12"/>
      <c r="N48" s="16">
        <v>0</v>
      </c>
      <c r="O48" s="16">
        <v>0</v>
      </c>
      <c r="P48" s="16"/>
      <c r="Q48" s="17"/>
      <c r="R48" s="16">
        <v>0</v>
      </c>
      <c r="S48" s="16">
        <v>0</v>
      </c>
      <c r="T48" s="16"/>
      <c r="U48" s="12"/>
      <c r="V48" s="12"/>
      <c r="W48" s="16">
        <v>0</v>
      </c>
      <c r="X48" s="16"/>
      <c r="Y48" s="18">
        <v>5975000</v>
      </c>
      <c r="Z48" s="19">
        <v>3386361.8</v>
      </c>
      <c r="AA48" s="19">
        <v>2588638.2000000002</v>
      </c>
      <c r="AB48" s="12" t="s">
        <v>58</v>
      </c>
      <c r="AC48" s="12" t="s">
        <v>73</v>
      </c>
      <c r="AD48" s="12"/>
      <c r="AF48" s="10" t="e">
        <v>#N/A</v>
      </c>
      <c r="AG48" s="10"/>
      <c r="AH48" s="10"/>
    </row>
    <row r="49" spans="1:34" ht="13.5" x14ac:dyDescent="0.25">
      <c r="A49" s="11">
        <v>46175</v>
      </c>
      <c r="B49" s="12" t="s">
        <v>57</v>
      </c>
      <c r="C49" s="13"/>
      <c r="D49" s="14">
        <v>3424</v>
      </c>
      <c r="E49" s="15"/>
      <c r="F49" s="12">
        <v>113</v>
      </c>
      <c r="G49" s="11">
        <v>46203</v>
      </c>
      <c r="H49" s="16"/>
      <c r="I49" s="12"/>
      <c r="J49" s="16">
        <v>0</v>
      </c>
      <c r="K49" s="16">
        <v>0</v>
      </c>
      <c r="L49" s="16">
        <v>7000000</v>
      </c>
      <c r="M49" s="12">
        <v>7</v>
      </c>
      <c r="N49" s="16">
        <v>714123.37</v>
      </c>
      <c r="O49" s="16">
        <v>6285876.6299999999</v>
      </c>
      <c r="P49" s="20">
        <v>5000000</v>
      </c>
      <c r="Q49" s="17" t="s">
        <v>53</v>
      </c>
      <c r="R49" s="16">
        <v>489312.58004138124</v>
      </c>
      <c r="S49" s="16">
        <v>4510687.4199586185</v>
      </c>
      <c r="T49" s="16"/>
      <c r="U49" s="12"/>
      <c r="V49" s="12"/>
      <c r="W49" s="16">
        <v>0</v>
      </c>
      <c r="X49" s="16"/>
      <c r="Y49" s="18">
        <v>12000000</v>
      </c>
      <c r="Z49" s="19">
        <v>1203435.9500413812</v>
      </c>
      <c r="AA49" s="19">
        <v>10796564.049958618</v>
      </c>
      <c r="AB49" s="12" t="s">
        <v>58</v>
      </c>
      <c r="AC49" s="12" t="s">
        <v>59</v>
      </c>
      <c r="AD49" s="12"/>
      <c r="AF49" s="10">
        <v>5000000</v>
      </c>
      <c r="AG49" s="10"/>
      <c r="AH49" s="10"/>
    </row>
    <row r="50" spans="1:34" ht="13.5" x14ac:dyDescent="0.25">
      <c r="A50" s="11">
        <v>46175</v>
      </c>
      <c r="B50" s="12" t="s">
        <v>57</v>
      </c>
      <c r="C50" s="13"/>
      <c r="D50" s="14">
        <v>2997</v>
      </c>
      <c r="E50" s="15"/>
      <c r="F50" s="12">
        <v>113</v>
      </c>
      <c r="G50" s="11">
        <v>46203</v>
      </c>
      <c r="H50" s="16">
        <v>5000000</v>
      </c>
      <c r="I50" s="12">
        <v>1080</v>
      </c>
      <c r="J50" s="16">
        <v>0</v>
      </c>
      <c r="K50" s="16">
        <v>5000000</v>
      </c>
      <c r="L50" s="16"/>
      <c r="M50" s="12"/>
      <c r="N50" s="16">
        <v>0</v>
      </c>
      <c r="O50" s="16">
        <v>0</v>
      </c>
      <c r="P50" s="20">
        <v>5000000</v>
      </c>
      <c r="Q50" s="17" t="s">
        <v>46</v>
      </c>
      <c r="R50" s="16">
        <v>0</v>
      </c>
      <c r="S50" s="16">
        <v>5000000</v>
      </c>
      <c r="T50" s="16"/>
      <c r="U50" s="12"/>
      <c r="V50" s="12"/>
      <c r="W50" s="16">
        <v>0</v>
      </c>
      <c r="X50" s="16"/>
      <c r="Y50" s="18">
        <v>10000000</v>
      </c>
      <c r="Z50" s="19">
        <v>0</v>
      </c>
      <c r="AA50" s="19">
        <v>10000000</v>
      </c>
      <c r="AB50" s="12" t="s">
        <v>58</v>
      </c>
      <c r="AC50" s="12" t="s">
        <v>59</v>
      </c>
      <c r="AD50" s="12"/>
      <c r="AF50" s="10" t="e">
        <v>#N/A</v>
      </c>
      <c r="AG50" s="10"/>
      <c r="AH50" s="10"/>
    </row>
    <row r="51" spans="1:34" ht="13.5" x14ac:dyDescent="0.25">
      <c r="A51" s="11">
        <v>46175</v>
      </c>
      <c r="B51" s="12" t="s">
        <v>57</v>
      </c>
      <c r="C51" s="13"/>
      <c r="D51" s="14">
        <v>4323</v>
      </c>
      <c r="E51" s="15"/>
      <c r="F51" s="12">
        <v>113</v>
      </c>
      <c r="G51" s="11">
        <v>46203</v>
      </c>
      <c r="H51" s="16">
        <v>2000000</v>
      </c>
      <c r="I51" s="12">
        <v>395</v>
      </c>
      <c r="J51" s="16">
        <v>0</v>
      </c>
      <c r="K51" s="16">
        <v>2000000</v>
      </c>
      <c r="L51" s="16"/>
      <c r="M51" s="12"/>
      <c r="N51" s="16">
        <v>0</v>
      </c>
      <c r="O51" s="16">
        <v>0</v>
      </c>
      <c r="P51" s="16"/>
      <c r="Q51" s="17"/>
      <c r="R51" s="16">
        <v>0</v>
      </c>
      <c r="S51" s="16">
        <v>0</v>
      </c>
      <c r="T51" s="16"/>
      <c r="U51" s="12"/>
      <c r="V51" s="12"/>
      <c r="W51" s="16">
        <v>0</v>
      </c>
      <c r="X51" s="16"/>
      <c r="Y51" s="18">
        <v>2000000</v>
      </c>
      <c r="Z51" s="19">
        <v>0</v>
      </c>
      <c r="AA51" s="19">
        <v>2000000</v>
      </c>
      <c r="AB51" s="12" t="s">
        <v>58</v>
      </c>
      <c r="AC51" s="12" t="s">
        <v>59</v>
      </c>
      <c r="AD51" s="12"/>
      <c r="AF51" s="10" t="e">
        <v>#N/A</v>
      </c>
      <c r="AG51" s="10"/>
      <c r="AH51" s="10"/>
    </row>
    <row r="52" spans="1:34" ht="13.5" x14ac:dyDescent="0.25">
      <c r="A52" s="11">
        <v>46175</v>
      </c>
      <c r="B52" s="12" t="s">
        <v>57</v>
      </c>
      <c r="C52" s="13"/>
      <c r="D52" s="14">
        <v>4165</v>
      </c>
      <c r="E52" s="15"/>
      <c r="F52" s="12">
        <v>113</v>
      </c>
      <c r="G52" s="11">
        <v>46203</v>
      </c>
      <c r="H52" s="16">
        <v>5000000</v>
      </c>
      <c r="I52" s="12">
        <v>1095</v>
      </c>
      <c r="J52" s="16">
        <v>0</v>
      </c>
      <c r="K52" s="16">
        <v>5000000</v>
      </c>
      <c r="L52" s="16">
        <v>35000000</v>
      </c>
      <c r="M52" s="12">
        <v>30</v>
      </c>
      <c r="N52" s="16">
        <v>476668.8</v>
      </c>
      <c r="O52" s="16">
        <v>34523331.200000003</v>
      </c>
      <c r="P52" s="20">
        <v>7000000</v>
      </c>
      <c r="Q52" s="17" t="s">
        <v>31</v>
      </c>
      <c r="R52" s="16">
        <v>0</v>
      </c>
      <c r="S52" s="16">
        <v>7000000</v>
      </c>
      <c r="T52" s="16"/>
      <c r="U52" s="12"/>
      <c r="V52" s="12"/>
      <c r="W52" s="16">
        <v>0</v>
      </c>
      <c r="X52" s="16"/>
      <c r="Y52" s="18">
        <v>47000000</v>
      </c>
      <c r="Z52" s="19">
        <v>476668.8</v>
      </c>
      <c r="AA52" s="19">
        <v>46523331.200000003</v>
      </c>
      <c r="AB52" s="12" t="s">
        <v>58</v>
      </c>
      <c r="AC52" s="12" t="s">
        <v>59</v>
      </c>
      <c r="AD52" s="12"/>
      <c r="AF52" s="10" t="e">
        <v>#N/A</v>
      </c>
      <c r="AG52" s="10"/>
      <c r="AH52" s="10"/>
    </row>
    <row r="53" spans="1:34" ht="13.5" x14ac:dyDescent="0.25">
      <c r="A53" s="11">
        <v>46175</v>
      </c>
      <c r="B53" s="12" t="s">
        <v>57</v>
      </c>
      <c r="C53" s="13"/>
      <c r="D53" s="14">
        <v>4342</v>
      </c>
      <c r="E53" s="15"/>
      <c r="F53" s="12">
        <v>115</v>
      </c>
      <c r="G53" s="11">
        <v>46387</v>
      </c>
      <c r="H53" s="16">
        <v>5000000</v>
      </c>
      <c r="I53" s="12">
        <v>390</v>
      </c>
      <c r="J53" s="16">
        <v>0</v>
      </c>
      <c r="K53" s="16">
        <v>5000000</v>
      </c>
      <c r="L53" s="16"/>
      <c r="M53" s="12"/>
      <c r="N53" s="16">
        <v>0</v>
      </c>
      <c r="O53" s="16">
        <v>0</v>
      </c>
      <c r="P53" s="20">
        <v>5000000</v>
      </c>
      <c r="Q53" s="17" t="s">
        <v>54</v>
      </c>
      <c r="R53" s="16">
        <v>0</v>
      </c>
      <c r="S53" s="16">
        <v>5000000</v>
      </c>
      <c r="T53" s="16"/>
      <c r="U53" s="12"/>
      <c r="V53" s="12"/>
      <c r="W53" s="16">
        <v>0</v>
      </c>
      <c r="X53" s="16"/>
      <c r="Y53" s="18">
        <v>10000000</v>
      </c>
      <c r="Z53" s="19">
        <v>0</v>
      </c>
      <c r="AA53" s="19">
        <v>10000000</v>
      </c>
      <c r="AB53" s="12" t="s">
        <v>58</v>
      </c>
      <c r="AC53" s="12" t="s">
        <v>60</v>
      </c>
      <c r="AD53" s="12"/>
      <c r="AF53" s="10" t="e">
        <v>#N/A</v>
      </c>
      <c r="AG53" s="10"/>
      <c r="AH53" s="10"/>
    </row>
    <row r="54" spans="1:34" ht="13.5" x14ac:dyDescent="0.25">
      <c r="A54" s="11">
        <v>46175</v>
      </c>
      <c r="B54" s="12" t="s">
        <v>57</v>
      </c>
      <c r="C54" s="13"/>
      <c r="D54" s="14">
        <v>4253</v>
      </c>
      <c r="E54" s="15"/>
      <c r="F54" s="12">
        <v>115</v>
      </c>
      <c r="G54" s="11">
        <v>46387</v>
      </c>
      <c r="H54" s="16">
        <v>3000000</v>
      </c>
      <c r="I54" s="12">
        <v>390</v>
      </c>
      <c r="J54" s="16">
        <v>0</v>
      </c>
      <c r="K54" s="16">
        <v>3000000</v>
      </c>
      <c r="L54" s="16"/>
      <c r="M54" s="12"/>
      <c r="N54" s="16">
        <v>0</v>
      </c>
      <c r="O54" s="16">
        <v>0</v>
      </c>
      <c r="P54" s="16"/>
      <c r="Q54" s="17"/>
      <c r="R54" s="16">
        <v>0</v>
      </c>
      <c r="S54" s="16">
        <v>0</v>
      </c>
      <c r="T54" s="16"/>
      <c r="U54" s="12"/>
      <c r="V54" s="12"/>
      <c r="W54" s="16">
        <v>0</v>
      </c>
      <c r="X54" s="16"/>
      <c r="Y54" s="18">
        <v>3000000</v>
      </c>
      <c r="Z54" s="19">
        <v>0</v>
      </c>
      <c r="AA54" s="19">
        <v>3000000</v>
      </c>
      <c r="AB54" s="12" t="s">
        <v>58</v>
      </c>
      <c r="AC54" s="12" t="s">
        <v>60</v>
      </c>
      <c r="AD54" s="12"/>
      <c r="AF54" s="10" t="e">
        <v>#N/A</v>
      </c>
      <c r="AG54" s="10"/>
      <c r="AH54" s="10"/>
    </row>
    <row r="55" spans="1:34" ht="13.5" x14ac:dyDescent="0.25">
      <c r="A55" s="11">
        <v>46175</v>
      </c>
      <c r="B55" s="12" t="s">
        <v>57</v>
      </c>
      <c r="C55" s="13"/>
      <c r="D55" s="14">
        <v>4245</v>
      </c>
      <c r="E55" s="15"/>
      <c r="F55" s="12">
        <v>115</v>
      </c>
      <c r="G55" s="11">
        <v>46387</v>
      </c>
      <c r="H55" s="16">
        <v>3000000</v>
      </c>
      <c r="I55" s="12">
        <v>390</v>
      </c>
      <c r="J55" s="16">
        <v>0</v>
      </c>
      <c r="K55" s="16">
        <v>3000000</v>
      </c>
      <c r="L55" s="16"/>
      <c r="M55" s="12"/>
      <c r="N55" s="16">
        <v>0</v>
      </c>
      <c r="O55" s="16">
        <v>0</v>
      </c>
      <c r="P55" s="16"/>
      <c r="Q55" s="17"/>
      <c r="R55" s="16">
        <v>0</v>
      </c>
      <c r="S55" s="16">
        <v>0</v>
      </c>
      <c r="T55" s="16"/>
      <c r="U55" s="12"/>
      <c r="V55" s="12"/>
      <c r="W55" s="16">
        <v>0</v>
      </c>
      <c r="X55" s="16"/>
      <c r="Y55" s="18">
        <v>3000000</v>
      </c>
      <c r="Z55" s="19">
        <v>0</v>
      </c>
      <c r="AA55" s="19">
        <v>3000000</v>
      </c>
      <c r="AB55" s="12" t="s">
        <v>58</v>
      </c>
      <c r="AC55" s="12" t="s">
        <v>60</v>
      </c>
      <c r="AD55" s="12"/>
      <c r="AF55" s="10" t="e">
        <v>#N/A</v>
      </c>
      <c r="AG55" s="10"/>
      <c r="AH55" s="10"/>
    </row>
    <row r="56" spans="1:34" ht="13.5" x14ac:dyDescent="0.25">
      <c r="A56" s="11">
        <v>46175</v>
      </c>
      <c r="B56" s="12" t="s">
        <v>57</v>
      </c>
      <c r="C56" s="13"/>
      <c r="D56" s="14">
        <v>4281</v>
      </c>
      <c r="E56" s="15"/>
      <c r="F56" s="12">
        <v>116</v>
      </c>
      <c r="G56" s="11">
        <v>46507</v>
      </c>
      <c r="H56" s="16">
        <v>2000000</v>
      </c>
      <c r="I56" s="12">
        <v>750</v>
      </c>
      <c r="J56" s="16">
        <v>0</v>
      </c>
      <c r="K56" s="16">
        <v>2000000</v>
      </c>
      <c r="L56" s="16"/>
      <c r="M56" s="12"/>
      <c r="N56" s="16">
        <v>0</v>
      </c>
      <c r="O56" s="16">
        <v>0</v>
      </c>
      <c r="P56" s="16"/>
      <c r="Q56" s="17"/>
      <c r="R56" s="16">
        <v>0</v>
      </c>
      <c r="S56" s="16">
        <v>0</v>
      </c>
      <c r="T56" s="16"/>
      <c r="U56" s="12"/>
      <c r="V56" s="12"/>
      <c r="W56" s="16">
        <v>0</v>
      </c>
      <c r="X56" s="16"/>
      <c r="Y56" s="18">
        <v>2000000</v>
      </c>
      <c r="Z56" s="19">
        <v>0</v>
      </c>
      <c r="AA56" s="19">
        <v>2000000</v>
      </c>
      <c r="AB56" s="12" t="s">
        <v>58</v>
      </c>
      <c r="AC56" s="12" t="s">
        <v>69</v>
      </c>
      <c r="AD56" s="12"/>
      <c r="AF56" s="10" t="e">
        <v>#N/A</v>
      </c>
      <c r="AG56" s="10"/>
      <c r="AH56" s="10"/>
    </row>
    <row r="57" spans="1:34" ht="13.5" x14ac:dyDescent="0.25">
      <c r="A57" s="11">
        <v>46175</v>
      </c>
      <c r="B57" s="12" t="s">
        <v>57</v>
      </c>
      <c r="C57" s="13"/>
      <c r="D57" s="14">
        <v>4269</v>
      </c>
      <c r="E57" s="15"/>
      <c r="F57" s="12">
        <v>119</v>
      </c>
      <c r="G57" s="11">
        <v>46295</v>
      </c>
      <c r="H57" s="16">
        <v>30000000</v>
      </c>
      <c r="I57" s="12">
        <v>395</v>
      </c>
      <c r="J57" s="16">
        <v>0</v>
      </c>
      <c r="K57" s="16">
        <v>30000000</v>
      </c>
      <c r="L57" s="16"/>
      <c r="M57" s="12"/>
      <c r="N57" s="16">
        <v>0</v>
      </c>
      <c r="O57" s="16">
        <v>0</v>
      </c>
      <c r="P57" s="16"/>
      <c r="Q57" s="17"/>
      <c r="R57" s="16">
        <v>0</v>
      </c>
      <c r="S57" s="16">
        <v>0</v>
      </c>
      <c r="T57" s="16"/>
      <c r="U57" s="12"/>
      <c r="V57" s="12"/>
      <c r="W57" s="16">
        <v>0</v>
      </c>
      <c r="X57" s="16"/>
      <c r="Y57" s="18">
        <v>30000000</v>
      </c>
      <c r="Z57" s="19">
        <v>0</v>
      </c>
      <c r="AA57" s="19">
        <v>30000000</v>
      </c>
      <c r="AB57" s="12" t="s">
        <v>58</v>
      </c>
      <c r="AC57" s="12" t="s">
        <v>59</v>
      </c>
      <c r="AD57" s="12"/>
      <c r="AF57" s="10" t="e">
        <v>#N/A</v>
      </c>
      <c r="AG57" s="10"/>
      <c r="AH57" s="10"/>
    </row>
    <row r="58" spans="1:34" ht="13.5" x14ac:dyDescent="0.25">
      <c r="A58" s="11">
        <v>46175</v>
      </c>
      <c r="B58" s="12" t="s">
        <v>1</v>
      </c>
      <c r="C58" s="13"/>
      <c r="D58" s="14">
        <v>522</v>
      </c>
      <c r="E58" s="15"/>
      <c r="F58" s="12">
        <v>117</v>
      </c>
      <c r="G58" s="11">
        <v>46265</v>
      </c>
      <c r="H58" s="16">
        <v>1775000</v>
      </c>
      <c r="I58" s="12">
        <v>1825</v>
      </c>
      <c r="J58" s="16">
        <v>303000</v>
      </c>
      <c r="K58" s="16">
        <v>1472000</v>
      </c>
      <c r="L58" s="16">
        <v>17400000</v>
      </c>
      <c r="M58" s="12">
        <v>365</v>
      </c>
      <c r="N58" s="16">
        <v>4416179.17</v>
      </c>
      <c r="O58" s="16">
        <v>12983820.83</v>
      </c>
      <c r="P58" s="16"/>
      <c r="Q58" s="17"/>
      <c r="R58" s="16">
        <v>0</v>
      </c>
      <c r="S58" s="16">
        <v>0</v>
      </c>
      <c r="T58" s="16"/>
      <c r="U58" s="12"/>
      <c r="V58" s="12"/>
      <c r="W58" s="16">
        <v>0</v>
      </c>
      <c r="X58" s="16"/>
      <c r="Y58" s="18">
        <v>19175000</v>
      </c>
      <c r="Z58" s="19">
        <v>4719179.17</v>
      </c>
      <c r="AA58" s="19">
        <v>14455820.83</v>
      </c>
      <c r="AB58" s="12" t="s">
        <v>62</v>
      </c>
      <c r="AC58" s="12" t="s">
        <v>71</v>
      </c>
      <c r="AD58" s="12"/>
      <c r="AF58" s="10" t="e">
        <v>#N/A</v>
      </c>
      <c r="AG58" s="10"/>
      <c r="AH58" s="10"/>
    </row>
    <row r="59" spans="1:34" ht="13.5" x14ac:dyDescent="0.25">
      <c r="A59" s="11">
        <v>46175</v>
      </c>
      <c r="B59" s="12" t="s">
        <v>57</v>
      </c>
      <c r="C59" s="13"/>
      <c r="D59" s="14">
        <v>4289</v>
      </c>
      <c r="E59" s="15"/>
      <c r="F59" s="12">
        <v>117</v>
      </c>
      <c r="G59" s="11">
        <v>46203</v>
      </c>
      <c r="H59" s="16">
        <v>1000000</v>
      </c>
      <c r="I59" s="12">
        <v>390</v>
      </c>
      <c r="J59" s="16">
        <v>0</v>
      </c>
      <c r="K59" s="16">
        <v>1000000</v>
      </c>
      <c r="L59" s="16"/>
      <c r="M59" s="12"/>
      <c r="N59" s="16">
        <v>0</v>
      </c>
      <c r="O59" s="16">
        <v>0</v>
      </c>
      <c r="P59" s="16"/>
      <c r="Q59" s="17"/>
      <c r="R59" s="16">
        <v>0</v>
      </c>
      <c r="S59" s="16">
        <v>0</v>
      </c>
      <c r="T59" s="16"/>
      <c r="U59" s="17"/>
      <c r="V59" s="12"/>
      <c r="W59" s="16">
        <v>0</v>
      </c>
      <c r="X59" s="16"/>
      <c r="Y59" s="18">
        <v>1000000</v>
      </c>
      <c r="Z59" s="19">
        <v>0</v>
      </c>
      <c r="AA59" s="16">
        <v>1000000</v>
      </c>
      <c r="AB59" s="12" t="s">
        <v>62</v>
      </c>
      <c r="AC59" s="12" t="s">
        <v>74</v>
      </c>
      <c r="AD59" s="12"/>
      <c r="AF59" s="10" t="e">
        <v>#N/A</v>
      </c>
      <c r="AG59" s="10"/>
      <c r="AH59" s="10"/>
    </row>
    <row r="60" spans="1:34" ht="13.5" x14ac:dyDescent="0.25">
      <c r="A60" s="11">
        <v>46175</v>
      </c>
      <c r="B60" s="12" t="s">
        <v>57</v>
      </c>
      <c r="C60" s="13"/>
      <c r="D60" s="14">
        <v>4261</v>
      </c>
      <c r="E60" s="15"/>
      <c r="F60" s="12">
        <v>117</v>
      </c>
      <c r="G60" s="11">
        <v>46418</v>
      </c>
      <c r="H60" s="16"/>
      <c r="I60" s="12"/>
      <c r="J60" s="16">
        <v>0</v>
      </c>
      <c r="K60" s="16">
        <v>0</v>
      </c>
      <c r="L60" s="16">
        <v>5000000</v>
      </c>
      <c r="M60" s="12">
        <v>90</v>
      </c>
      <c r="N60" s="16">
        <v>0</v>
      </c>
      <c r="O60" s="16">
        <v>5000000</v>
      </c>
      <c r="P60" s="16"/>
      <c r="Q60" s="17"/>
      <c r="R60" s="16">
        <v>0</v>
      </c>
      <c r="S60" s="16">
        <v>0</v>
      </c>
      <c r="T60" s="16"/>
      <c r="U60" s="12"/>
      <c r="V60" s="12"/>
      <c r="W60" s="16">
        <v>0</v>
      </c>
      <c r="X60" s="16"/>
      <c r="Y60" s="18">
        <v>5000000</v>
      </c>
      <c r="Z60" s="19">
        <v>0</v>
      </c>
      <c r="AA60" s="19">
        <v>5000000</v>
      </c>
      <c r="AB60" s="12" t="s">
        <v>62</v>
      </c>
      <c r="AC60" s="12" t="s">
        <v>69</v>
      </c>
      <c r="AD60" s="12"/>
      <c r="AF60" s="10" t="e">
        <v>#N/A</v>
      </c>
      <c r="AG60" s="10"/>
      <c r="AH60" s="10"/>
    </row>
    <row r="61" spans="1:34" ht="13.5" x14ac:dyDescent="0.25">
      <c r="A61" s="11">
        <v>46175</v>
      </c>
      <c r="B61" s="12" t="s">
        <v>57</v>
      </c>
      <c r="C61" s="13"/>
      <c r="D61" s="14">
        <v>4214</v>
      </c>
      <c r="E61" s="15"/>
      <c r="F61" s="12">
        <v>120</v>
      </c>
      <c r="G61" s="11">
        <v>46507</v>
      </c>
      <c r="H61" s="16">
        <v>2500000</v>
      </c>
      <c r="I61" s="12">
        <v>395</v>
      </c>
      <c r="J61" s="16">
        <v>0</v>
      </c>
      <c r="K61" s="16">
        <v>2500000</v>
      </c>
      <c r="L61" s="16"/>
      <c r="M61" s="12"/>
      <c r="N61" s="16">
        <v>0</v>
      </c>
      <c r="O61" s="16">
        <v>0</v>
      </c>
      <c r="P61" s="16"/>
      <c r="Q61" s="17"/>
      <c r="R61" s="16">
        <v>0</v>
      </c>
      <c r="S61" s="16">
        <v>0</v>
      </c>
      <c r="T61" s="16"/>
      <c r="U61" s="12"/>
      <c r="V61" s="12"/>
      <c r="W61" s="16">
        <v>0</v>
      </c>
      <c r="X61" s="16"/>
      <c r="Y61" s="18">
        <v>2500000</v>
      </c>
      <c r="Z61" s="19">
        <v>0</v>
      </c>
      <c r="AA61" s="19">
        <v>2500000</v>
      </c>
      <c r="AB61" s="12" t="s">
        <v>62</v>
      </c>
      <c r="AC61" s="12" t="s">
        <v>74</v>
      </c>
      <c r="AD61" s="12"/>
      <c r="AF61" s="10" t="e">
        <v>#N/A</v>
      </c>
      <c r="AG61" s="10"/>
      <c r="AH61" s="10"/>
    </row>
    <row r="62" spans="1:34" ht="13.5" x14ac:dyDescent="0.25">
      <c r="A62" s="11">
        <v>46175</v>
      </c>
      <c r="B62" s="12" t="s">
        <v>57</v>
      </c>
      <c r="C62" s="13"/>
      <c r="D62" s="14">
        <v>4278</v>
      </c>
      <c r="E62" s="15"/>
      <c r="F62" s="12">
        <v>120</v>
      </c>
      <c r="G62" s="11">
        <v>46507</v>
      </c>
      <c r="H62" s="16">
        <v>1000000</v>
      </c>
      <c r="I62" s="12">
        <v>390</v>
      </c>
      <c r="J62" s="16">
        <v>0</v>
      </c>
      <c r="K62" s="16">
        <v>1000000</v>
      </c>
      <c r="L62" s="16">
        <v>1000000</v>
      </c>
      <c r="M62" s="12">
        <v>390</v>
      </c>
      <c r="N62" s="16">
        <v>0</v>
      </c>
      <c r="O62" s="16">
        <v>1000000</v>
      </c>
      <c r="P62" s="16"/>
      <c r="Q62" s="17"/>
      <c r="R62" s="16">
        <v>0</v>
      </c>
      <c r="S62" s="16">
        <v>0</v>
      </c>
      <c r="T62" s="16">
        <v>2000000</v>
      </c>
      <c r="U62" s="12">
        <v>1825</v>
      </c>
      <c r="V62" s="12"/>
      <c r="W62" s="16">
        <v>2000000</v>
      </c>
      <c r="X62" s="16">
        <v>1000000</v>
      </c>
      <c r="Y62" s="18">
        <v>5000000</v>
      </c>
      <c r="Z62" s="19">
        <v>0</v>
      </c>
      <c r="AA62" s="19">
        <v>5000000</v>
      </c>
      <c r="AB62" s="12" t="s">
        <v>62</v>
      </c>
      <c r="AC62" s="12" t="s">
        <v>74</v>
      </c>
      <c r="AD62" s="12"/>
      <c r="AF62" s="10" t="e">
        <v>#N/A</v>
      </c>
      <c r="AG62" s="10"/>
      <c r="AH62" s="10"/>
    </row>
    <row r="63" spans="1:34" ht="13.5" x14ac:dyDescent="0.25">
      <c r="A63" s="11">
        <v>46175</v>
      </c>
      <c r="B63" s="12" t="s">
        <v>57</v>
      </c>
      <c r="C63" s="13"/>
      <c r="D63" s="14">
        <v>4252</v>
      </c>
      <c r="E63" s="15"/>
      <c r="F63" s="12">
        <v>120</v>
      </c>
      <c r="G63" s="11">
        <v>46203</v>
      </c>
      <c r="H63" s="16">
        <v>1000000</v>
      </c>
      <c r="I63" s="12">
        <v>390</v>
      </c>
      <c r="J63" s="16">
        <v>0</v>
      </c>
      <c r="K63" s="16">
        <v>1000000</v>
      </c>
      <c r="L63" s="16"/>
      <c r="M63" s="12"/>
      <c r="N63" s="16">
        <v>0</v>
      </c>
      <c r="O63" s="16">
        <v>0</v>
      </c>
      <c r="P63" s="16"/>
      <c r="Q63" s="17"/>
      <c r="R63" s="16">
        <v>0</v>
      </c>
      <c r="S63" s="16">
        <v>0</v>
      </c>
      <c r="T63" s="16"/>
      <c r="U63" s="12"/>
      <c r="V63" s="12"/>
      <c r="W63" s="16">
        <v>0</v>
      </c>
      <c r="X63" s="16"/>
      <c r="Y63" s="18">
        <v>1000000</v>
      </c>
      <c r="Z63" s="19">
        <v>0</v>
      </c>
      <c r="AA63" s="19">
        <v>1000000</v>
      </c>
      <c r="AB63" s="12" t="s">
        <v>62</v>
      </c>
      <c r="AC63" s="12" t="s">
        <v>74</v>
      </c>
      <c r="AD63" s="12"/>
      <c r="AF63" s="10" t="e">
        <v>#N/A</v>
      </c>
      <c r="AG63" s="10"/>
      <c r="AH63" s="10"/>
    </row>
    <row r="64" spans="1:34" ht="13.5" x14ac:dyDescent="0.25">
      <c r="A64" s="11">
        <v>46175</v>
      </c>
      <c r="B64" s="12" t="s">
        <v>57</v>
      </c>
      <c r="C64" s="13"/>
      <c r="D64" s="14">
        <v>4347</v>
      </c>
      <c r="E64" s="15"/>
      <c r="F64" s="12">
        <v>121</v>
      </c>
      <c r="G64" s="11">
        <v>46203</v>
      </c>
      <c r="H64" s="16">
        <v>700000</v>
      </c>
      <c r="I64" s="12">
        <v>395</v>
      </c>
      <c r="J64" s="16">
        <v>0</v>
      </c>
      <c r="K64" s="16">
        <v>700000</v>
      </c>
      <c r="L64" s="16"/>
      <c r="M64" s="12"/>
      <c r="N64" s="16">
        <v>0</v>
      </c>
      <c r="O64" s="16">
        <v>0</v>
      </c>
      <c r="P64" s="16"/>
      <c r="Q64" s="17"/>
      <c r="R64" s="16">
        <v>0</v>
      </c>
      <c r="S64" s="16">
        <v>0</v>
      </c>
      <c r="T64" s="16"/>
      <c r="U64" s="12"/>
      <c r="V64" s="12"/>
      <c r="W64" s="16">
        <v>0</v>
      </c>
      <c r="X64" s="16"/>
      <c r="Y64" s="18">
        <v>700000</v>
      </c>
      <c r="Z64" s="19">
        <v>0</v>
      </c>
      <c r="AA64" s="19">
        <v>700000</v>
      </c>
      <c r="AB64" s="12" t="s">
        <v>58</v>
      </c>
      <c r="AC64" s="12" t="s">
        <v>60</v>
      </c>
      <c r="AD64" s="12"/>
      <c r="AF64" s="10" t="e">
        <v>#N/A</v>
      </c>
      <c r="AG64" s="10"/>
      <c r="AH64" s="10"/>
    </row>
    <row r="65" spans="1:34" ht="13.5" x14ac:dyDescent="0.25">
      <c r="A65" s="11">
        <v>46175</v>
      </c>
      <c r="B65" s="12" t="s">
        <v>57</v>
      </c>
      <c r="C65" s="13"/>
      <c r="D65" s="14">
        <v>4367</v>
      </c>
      <c r="E65" s="15"/>
      <c r="F65" s="12">
        <v>122</v>
      </c>
      <c r="G65" s="11">
        <v>46446</v>
      </c>
      <c r="H65" s="16">
        <v>20000000</v>
      </c>
      <c r="I65" s="12">
        <v>390</v>
      </c>
      <c r="J65" s="16">
        <v>0</v>
      </c>
      <c r="K65" s="16">
        <v>20000000</v>
      </c>
      <c r="L65" s="16"/>
      <c r="M65" s="12"/>
      <c r="N65" s="16">
        <v>0</v>
      </c>
      <c r="O65" s="16">
        <v>0</v>
      </c>
      <c r="P65" s="16"/>
      <c r="Q65" s="17"/>
      <c r="R65" s="16">
        <v>0</v>
      </c>
      <c r="S65" s="16">
        <v>0</v>
      </c>
      <c r="T65" s="16"/>
      <c r="U65" s="17"/>
      <c r="V65" s="12"/>
      <c r="W65" s="16">
        <v>0</v>
      </c>
      <c r="X65" s="16"/>
      <c r="Y65" s="18">
        <v>20000000</v>
      </c>
      <c r="Z65" s="19">
        <v>0</v>
      </c>
      <c r="AA65" s="16">
        <v>20000000</v>
      </c>
      <c r="AB65" s="12" t="s">
        <v>62</v>
      </c>
      <c r="AC65" s="12" t="s">
        <v>66</v>
      </c>
      <c r="AD65" s="12"/>
      <c r="AF65" s="10" t="e">
        <v>#N/A</v>
      </c>
      <c r="AG65" s="10"/>
      <c r="AH65" s="10"/>
    </row>
    <row r="66" spans="1:34" ht="13.5" x14ac:dyDescent="0.25">
      <c r="A66" s="11">
        <v>46175</v>
      </c>
      <c r="B66" s="12" t="s">
        <v>57</v>
      </c>
      <c r="C66" s="13"/>
      <c r="D66" s="14">
        <v>4265</v>
      </c>
      <c r="E66" s="15"/>
      <c r="F66" s="12">
        <v>123</v>
      </c>
      <c r="G66" s="11">
        <v>46326</v>
      </c>
      <c r="H66" s="16">
        <v>20000000</v>
      </c>
      <c r="I66" s="12">
        <v>390</v>
      </c>
      <c r="J66" s="16">
        <v>0</v>
      </c>
      <c r="K66" s="16">
        <v>20000000</v>
      </c>
      <c r="L66" s="16"/>
      <c r="M66" s="12"/>
      <c r="N66" s="16">
        <v>0</v>
      </c>
      <c r="O66" s="16">
        <v>0</v>
      </c>
      <c r="P66" s="16"/>
      <c r="Q66" s="17"/>
      <c r="R66" s="16">
        <v>0</v>
      </c>
      <c r="S66" s="16">
        <v>0</v>
      </c>
      <c r="T66" s="16"/>
      <c r="U66" s="12"/>
      <c r="V66" s="12"/>
      <c r="W66" s="16">
        <v>0</v>
      </c>
      <c r="X66" s="16"/>
      <c r="Y66" s="18">
        <v>20000000</v>
      </c>
      <c r="Z66" s="19">
        <v>0</v>
      </c>
      <c r="AA66" s="19">
        <v>20000000</v>
      </c>
      <c r="AB66" s="12" t="s">
        <v>58</v>
      </c>
      <c r="AC66" s="12" t="s">
        <v>75</v>
      </c>
      <c r="AD66" s="12"/>
      <c r="AF66" s="10" t="e">
        <v>#N/A</v>
      </c>
      <c r="AG66" s="10"/>
      <c r="AH66" s="10"/>
    </row>
    <row r="67" spans="1:34" ht="13.5" x14ac:dyDescent="0.25">
      <c r="A67" s="11">
        <v>46175</v>
      </c>
      <c r="B67" s="12" t="s">
        <v>57</v>
      </c>
      <c r="C67" s="13"/>
      <c r="D67" s="14">
        <v>4297</v>
      </c>
      <c r="E67" s="15"/>
      <c r="F67" s="12">
        <v>124</v>
      </c>
      <c r="G67" s="11">
        <v>46477</v>
      </c>
      <c r="H67" s="16">
        <v>1000000</v>
      </c>
      <c r="I67" s="12">
        <v>395</v>
      </c>
      <c r="J67" s="16">
        <v>500000</v>
      </c>
      <c r="K67" s="16">
        <v>500000</v>
      </c>
      <c r="L67" s="16">
        <v>5000000</v>
      </c>
      <c r="M67" s="12">
        <v>30</v>
      </c>
      <c r="N67" s="16">
        <v>244463.63</v>
      </c>
      <c r="O67" s="16">
        <v>4755536.37</v>
      </c>
      <c r="P67" s="20">
        <v>3000000</v>
      </c>
      <c r="Q67" s="17" t="s">
        <v>31</v>
      </c>
      <c r="R67" s="16">
        <v>0</v>
      </c>
      <c r="S67" s="16">
        <v>3000000</v>
      </c>
      <c r="T67" s="16"/>
      <c r="U67" s="12"/>
      <c r="V67" s="12"/>
      <c r="W67" s="16">
        <v>0</v>
      </c>
      <c r="X67" s="16">
        <v>1000000</v>
      </c>
      <c r="Y67" s="18">
        <v>10000000</v>
      </c>
      <c r="Z67" s="19">
        <v>744463.63</v>
      </c>
      <c r="AA67" s="19">
        <v>9255536.3699999992</v>
      </c>
      <c r="AB67" s="12" t="s">
        <v>58</v>
      </c>
      <c r="AC67" s="12" t="s">
        <v>59</v>
      </c>
      <c r="AD67" s="12"/>
      <c r="AF67" s="10" t="e">
        <v>#N/A</v>
      </c>
      <c r="AG67" s="10"/>
      <c r="AH67" s="10"/>
    </row>
    <row r="68" spans="1:34" ht="13.5" x14ac:dyDescent="0.25">
      <c r="A68" s="11">
        <v>46175</v>
      </c>
      <c r="B68" s="12" t="s">
        <v>1</v>
      </c>
      <c r="C68" s="13"/>
      <c r="D68" s="14">
        <v>4308</v>
      </c>
      <c r="E68" s="15"/>
      <c r="F68" s="12">
        <v>125</v>
      </c>
      <c r="G68" s="11">
        <v>46265</v>
      </c>
      <c r="H68" s="16">
        <v>8350000</v>
      </c>
      <c r="I68" s="12">
        <v>365</v>
      </c>
      <c r="J68" s="16">
        <v>0</v>
      </c>
      <c r="K68" s="16">
        <v>8350000</v>
      </c>
      <c r="L68" s="16"/>
      <c r="M68" s="12"/>
      <c r="N68" s="16">
        <v>0</v>
      </c>
      <c r="O68" s="16">
        <v>0</v>
      </c>
      <c r="P68" s="16"/>
      <c r="Q68" s="17"/>
      <c r="R68" s="16">
        <v>0</v>
      </c>
      <c r="S68" s="16">
        <v>0</v>
      </c>
      <c r="T68" s="16"/>
      <c r="U68" s="12"/>
      <c r="V68" s="12"/>
      <c r="W68" s="16">
        <v>0</v>
      </c>
      <c r="X68" s="16"/>
      <c r="Y68" s="18">
        <v>8350000</v>
      </c>
      <c r="Z68" s="19">
        <v>0</v>
      </c>
      <c r="AA68" s="19">
        <v>8350000</v>
      </c>
      <c r="AB68" s="12" t="s">
        <v>62</v>
      </c>
      <c r="AC68" s="12" t="s">
        <v>75</v>
      </c>
      <c r="AD68" s="12"/>
      <c r="AF68" s="10"/>
      <c r="AG68" s="10"/>
      <c r="AH68" s="10"/>
    </row>
    <row r="69" spans="1:34" ht="13.5" x14ac:dyDescent="0.25">
      <c r="A69" s="11">
        <v>46175</v>
      </c>
      <c r="B69" s="12" t="s">
        <v>57</v>
      </c>
      <c r="C69" s="13"/>
      <c r="D69" s="14">
        <v>4358</v>
      </c>
      <c r="E69" s="15"/>
      <c r="F69" s="12">
        <v>111</v>
      </c>
      <c r="G69" s="11">
        <v>46203</v>
      </c>
      <c r="H69" s="16"/>
      <c r="I69" s="11"/>
      <c r="J69" s="16">
        <v>0</v>
      </c>
      <c r="K69" s="16">
        <v>0</v>
      </c>
      <c r="L69" s="16"/>
      <c r="M69" s="12"/>
      <c r="N69" s="16">
        <v>0</v>
      </c>
      <c r="O69" s="16">
        <v>0</v>
      </c>
      <c r="P69" s="16"/>
      <c r="Q69" s="17"/>
      <c r="R69" s="16">
        <v>0</v>
      </c>
      <c r="S69" s="16">
        <v>0</v>
      </c>
      <c r="T69" s="16"/>
      <c r="U69" s="17"/>
      <c r="V69" s="12"/>
      <c r="W69" s="16">
        <v>0</v>
      </c>
      <c r="X69" s="16">
        <v>10000000</v>
      </c>
      <c r="Y69" s="18">
        <v>10000000</v>
      </c>
      <c r="Z69" s="19">
        <v>0</v>
      </c>
      <c r="AA69" s="16">
        <v>10000000</v>
      </c>
      <c r="AB69" s="12" t="s">
        <v>58</v>
      </c>
      <c r="AC69" s="12" t="s">
        <v>70</v>
      </c>
      <c r="AD69" s="12"/>
      <c r="AF69" s="10"/>
      <c r="AG69" s="10"/>
      <c r="AH69" s="10"/>
    </row>
    <row r="70" spans="1:34" ht="13.5" x14ac:dyDescent="0.25">
      <c r="A70" s="11">
        <v>46175</v>
      </c>
      <c r="B70" s="12" t="s">
        <v>57</v>
      </c>
      <c r="C70" s="13"/>
      <c r="D70" s="14">
        <v>4280</v>
      </c>
      <c r="E70" s="15"/>
      <c r="F70" s="12">
        <v>116</v>
      </c>
      <c r="G70" s="11">
        <v>46507</v>
      </c>
      <c r="H70" s="16">
        <v>1000000</v>
      </c>
      <c r="I70" s="12">
        <v>1080</v>
      </c>
      <c r="J70" s="16">
        <v>0</v>
      </c>
      <c r="K70" s="16">
        <v>1000000</v>
      </c>
      <c r="L70" s="16"/>
      <c r="M70" s="12"/>
      <c r="N70" s="16">
        <v>0</v>
      </c>
      <c r="O70" s="16">
        <v>0</v>
      </c>
      <c r="P70" s="16"/>
      <c r="Q70" s="17"/>
      <c r="R70" s="16">
        <v>0</v>
      </c>
      <c r="S70" s="16">
        <v>0</v>
      </c>
      <c r="T70" s="16"/>
      <c r="U70" s="12"/>
      <c r="V70" s="12"/>
      <c r="W70" s="16">
        <v>0</v>
      </c>
      <c r="X70" s="16"/>
      <c r="Y70" s="18">
        <v>1000000</v>
      </c>
      <c r="Z70" s="19">
        <v>0</v>
      </c>
      <c r="AA70" s="19">
        <v>1000000</v>
      </c>
      <c r="AB70" s="12" t="s">
        <v>58</v>
      </c>
      <c r="AC70" s="12" t="s">
        <v>69</v>
      </c>
      <c r="AD70" s="12"/>
      <c r="AF70" s="10"/>
      <c r="AG70" s="10"/>
      <c r="AH70" s="10"/>
    </row>
    <row r="71" spans="1:34" ht="13.5" x14ac:dyDescent="0.25">
      <c r="A71" s="11">
        <v>46175</v>
      </c>
      <c r="B71" s="12" t="s">
        <v>57</v>
      </c>
      <c r="C71" s="13"/>
      <c r="D71" s="27">
        <v>9</v>
      </c>
      <c r="E71" s="15"/>
      <c r="F71" s="12">
        <v>111</v>
      </c>
      <c r="G71" s="11">
        <v>46203</v>
      </c>
      <c r="H71" s="16">
        <v>1000000</v>
      </c>
      <c r="I71" s="12">
        <v>395</v>
      </c>
      <c r="J71" s="16">
        <v>0</v>
      </c>
      <c r="K71" s="16">
        <v>1000000</v>
      </c>
      <c r="L71" s="16"/>
      <c r="M71" s="12"/>
      <c r="N71" s="16">
        <v>0</v>
      </c>
      <c r="O71" s="16">
        <v>0</v>
      </c>
      <c r="P71" s="16"/>
      <c r="Q71" s="17"/>
      <c r="R71" s="16">
        <v>0</v>
      </c>
      <c r="S71" s="16">
        <v>0</v>
      </c>
      <c r="T71" s="16"/>
      <c r="U71" s="12"/>
      <c r="V71" s="12"/>
      <c r="W71" s="16">
        <v>0</v>
      </c>
      <c r="X71" s="16"/>
      <c r="Y71" s="18">
        <v>1000000</v>
      </c>
      <c r="Z71" s="19">
        <v>0</v>
      </c>
      <c r="AA71" s="19">
        <v>1000000</v>
      </c>
      <c r="AB71" s="12" t="s">
        <v>58</v>
      </c>
      <c r="AC71" s="12" t="s">
        <v>60</v>
      </c>
      <c r="AD71" s="12"/>
      <c r="AF71" s="10"/>
      <c r="AG71" s="10"/>
      <c r="AH71" s="10"/>
    </row>
    <row r="72" spans="1:34" ht="13.5" x14ac:dyDescent="0.25">
      <c r="A72" s="11">
        <v>46155</v>
      </c>
      <c r="B72" s="12" t="s">
        <v>57</v>
      </c>
      <c r="C72" s="13"/>
      <c r="D72" s="14">
        <v>4395</v>
      </c>
      <c r="E72" s="15"/>
      <c r="F72" s="12">
        <v>103</v>
      </c>
      <c r="G72" s="11">
        <v>46203</v>
      </c>
      <c r="H72" s="16"/>
      <c r="I72" s="12"/>
      <c r="J72" s="16">
        <v>0</v>
      </c>
      <c r="K72" s="16">
        <v>0</v>
      </c>
      <c r="L72" s="16">
        <v>5000</v>
      </c>
      <c r="M72" s="12"/>
      <c r="N72" s="16">
        <v>0</v>
      </c>
      <c r="O72" s="16">
        <v>5000</v>
      </c>
      <c r="P72" s="16"/>
      <c r="Q72" s="17"/>
      <c r="R72" s="16">
        <v>0</v>
      </c>
      <c r="S72" s="16">
        <v>0</v>
      </c>
      <c r="T72" s="16"/>
      <c r="U72" s="12"/>
      <c r="V72" s="12"/>
      <c r="W72" s="16">
        <v>0</v>
      </c>
      <c r="X72" s="16"/>
      <c r="Y72" s="18">
        <v>5000</v>
      </c>
      <c r="Z72" s="19">
        <v>0</v>
      </c>
      <c r="AA72" s="19">
        <v>5000</v>
      </c>
      <c r="AB72" s="12" t="s">
        <v>58</v>
      </c>
      <c r="AC72" s="12" t="s">
        <v>76</v>
      </c>
      <c r="AD72" s="12"/>
      <c r="AF72" s="10"/>
      <c r="AG72" s="10"/>
      <c r="AH72" s="10"/>
    </row>
    <row r="73" spans="1:34" x14ac:dyDescent="0.25">
      <c r="C73" s="29"/>
      <c r="D73"/>
      <c r="E73"/>
      <c r="F73" s="15"/>
    </row>
    <row r="74" spans="1:34" x14ac:dyDescent="0.25">
      <c r="C74" s="29"/>
      <c r="D74"/>
      <c r="E74"/>
      <c r="F74" s="15"/>
    </row>
    <row r="75" spans="1:34" x14ac:dyDescent="0.25">
      <c r="C75" s="29"/>
      <c r="D75"/>
      <c r="E75"/>
      <c r="F75" s="15"/>
    </row>
    <row r="76" spans="1:34" x14ac:dyDescent="0.25">
      <c r="C76" s="29"/>
      <c r="D76"/>
      <c r="E76"/>
      <c r="F76" s="15"/>
    </row>
    <row r="77" spans="1:34" x14ac:dyDescent="0.25">
      <c r="C77" s="29"/>
      <c r="D77"/>
      <c r="E77"/>
      <c r="F77" s="15"/>
    </row>
    <row r="78" spans="1:34" x14ac:dyDescent="0.25">
      <c r="C78" s="29"/>
      <c r="D78"/>
      <c r="E78"/>
      <c r="F78" s="15"/>
    </row>
    <row r="79" spans="1:34" x14ac:dyDescent="0.25">
      <c r="C79" s="29"/>
      <c r="D79"/>
      <c r="E79"/>
      <c r="F79" s="15"/>
    </row>
    <row r="80" spans="1:34" x14ac:dyDescent="0.25">
      <c r="C80" s="29"/>
      <c r="D80"/>
      <c r="E80"/>
      <c r="F80" s="15"/>
    </row>
    <row r="81" spans="3:6" x14ac:dyDescent="0.25">
      <c r="C81" s="29"/>
      <c r="D81"/>
      <c r="E81"/>
      <c r="F81" s="15"/>
    </row>
    <row r="82" spans="3:6" x14ac:dyDescent="0.25">
      <c r="C82" s="29"/>
      <c r="D82"/>
      <c r="E82"/>
      <c r="F82" s="15"/>
    </row>
    <row r="83" spans="3:6" x14ac:dyDescent="0.25">
      <c r="C83" s="29"/>
      <c r="D83"/>
      <c r="E83"/>
      <c r="F83" s="15"/>
    </row>
    <row r="84" spans="3:6" x14ac:dyDescent="0.25">
      <c r="C84" s="29"/>
      <c r="D84"/>
      <c r="E84"/>
      <c r="F84" s="15"/>
    </row>
    <row r="85" spans="3:6" x14ac:dyDescent="0.25">
      <c r="C85" s="29"/>
      <c r="D85"/>
      <c r="E85"/>
      <c r="F85" s="15"/>
    </row>
    <row r="86" spans="3:6" x14ac:dyDescent="0.25">
      <c r="C86" s="29"/>
      <c r="D86"/>
      <c r="E86"/>
      <c r="F86" s="15"/>
    </row>
    <row r="87" spans="3:6" x14ac:dyDescent="0.25">
      <c r="C87" s="29"/>
      <c r="D87"/>
      <c r="E87"/>
      <c r="F87" s="15"/>
    </row>
    <row r="88" spans="3:6" x14ac:dyDescent="0.25">
      <c r="C88" s="29"/>
      <c r="D88"/>
      <c r="E88"/>
      <c r="F88" s="15"/>
    </row>
    <row r="89" spans="3:6" x14ac:dyDescent="0.25">
      <c r="C89" s="29"/>
      <c r="D89"/>
      <c r="E89"/>
      <c r="F89" s="15"/>
    </row>
    <row r="90" spans="3:6" x14ac:dyDescent="0.25">
      <c r="C90" s="29"/>
      <c r="D90"/>
      <c r="E90"/>
      <c r="F90" s="15"/>
    </row>
    <row r="91" spans="3:6" x14ac:dyDescent="0.25">
      <c r="C91" s="29"/>
      <c r="D91"/>
      <c r="E91"/>
      <c r="F91" s="15"/>
    </row>
    <row r="92" spans="3:6" x14ac:dyDescent="0.25">
      <c r="C92" s="29"/>
      <c r="D92"/>
      <c r="E92"/>
      <c r="F92" s="15"/>
    </row>
    <row r="93" spans="3:6" x14ac:dyDescent="0.25">
      <c r="C93" s="29"/>
      <c r="D93"/>
      <c r="E93"/>
      <c r="F93" s="15"/>
    </row>
    <row r="94" spans="3:6" x14ac:dyDescent="0.25">
      <c r="C94" s="29"/>
      <c r="D94"/>
      <c r="E94"/>
      <c r="F94" s="15"/>
    </row>
    <row r="95" spans="3:6" x14ac:dyDescent="0.25">
      <c r="C95" s="29"/>
      <c r="D95"/>
      <c r="E95"/>
      <c r="F95" s="15"/>
    </row>
    <row r="96" spans="3:6" x14ac:dyDescent="0.25">
      <c r="C96" s="29"/>
      <c r="D96"/>
      <c r="E96"/>
      <c r="F96" s="15"/>
    </row>
    <row r="97" spans="3:6" x14ac:dyDescent="0.25">
      <c r="C97" s="29"/>
      <c r="D97"/>
      <c r="E97"/>
      <c r="F97" s="15"/>
    </row>
    <row r="98" spans="3:6" x14ac:dyDescent="0.25">
      <c r="C98" s="29"/>
      <c r="D98"/>
      <c r="E98"/>
      <c r="F98" s="15"/>
    </row>
    <row r="99" spans="3:6" x14ac:dyDescent="0.25">
      <c r="C99" s="29"/>
      <c r="D99"/>
      <c r="E99"/>
      <c r="F99" s="15"/>
    </row>
    <row r="100" spans="3:6" x14ac:dyDescent="0.25">
      <c r="C100" s="29"/>
      <c r="D100"/>
      <c r="E100"/>
      <c r="F100" s="15"/>
    </row>
    <row r="101" spans="3:6" x14ac:dyDescent="0.25">
      <c r="C101" s="29"/>
      <c r="D101"/>
      <c r="E101"/>
      <c r="F101" s="15"/>
    </row>
    <row r="102" spans="3:6" x14ac:dyDescent="0.25">
      <c r="C102" s="29"/>
      <c r="D102"/>
      <c r="E102"/>
      <c r="F102" s="15"/>
    </row>
    <row r="103" spans="3:6" x14ac:dyDescent="0.25">
      <c r="C103" s="29"/>
      <c r="D103"/>
      <c r="E103"/>
      <c r="F103" s="15"/>
    </row>
    <row r="104" spans="3:6" x14ac:dyDescent="0.25">
      <c r="C104" s="29"/>
      <c r="D104"/>
      <c r="E104"/>
      <c r="F104" s="15"/>
    </row>
    <row r="105" spans="3:6" x14ac:dyDescent="0.25">
      <c r="C105" s="29"/>
      <c r="D105"/>
      <c r="E105"/>
      <c r="F105" s="15"/>
    </row>
    <row r="106" spans="3:6" x14ac:dyDescent="0.25">
      <c r="C106" s="29"/>
      <c r="D106"/>
      <c r="E106"/>
      <c r="F106" s="15"/>
    </row>
    <row r="107" spans="3:6" x14ac:dyDescent="0.25">
      <c r="C107" s="29"/>
      <c r="D107"/>
      <c r="E107"/>
      <c r="F107" s="15"/>
    </row>
    <row r="108" spans="3:6" x14ac:dyDescent="0.25">
      <c r="C108" s="29"/>
      <c r="D108"/>
      <c r="E108"/>
      <c r="F108" s="15"/>
    </row>
    <row r="109" spans="3:6" x14ac:dyDescent="0.25">
      <c r="C109" s="29"/>
      <c r="D109"/>
      <c r="E109"/>
      <c r="F109" s="15"/>
    </row>
    <row r="110" spans="3:6" x14ac:dyDescent="0.25">
      <c r="C110" s="29"/>
      <c r="D110"/>
      <c r="E110"/>
      <c r="F110" s="15"/>
    </row>
    <row r="111" spans="3:6" x14ac:dyDescent="0.25">
      <c r="C111" s="29"/>
      <c r="D111"/>
      <c r="E111"/>
      <c r="F111" s="15"/>
    </row>
    <row r="112" spans="3:6" x14ac:dyDescent="0.25">
      <c r="C112" s="29"/>
      <c r="D112"/>
      <c r="E112"/>
      <c r="F112" s="15"/>
    </row>
    <row r="113" spans="3:6" x14ac:dyDescent="0.25">
      <c r="C113" s="29"/>
      <c r="D113"/>
      <c r="E113"/>
      <c r="F113" s="15"/>
    </row>
    <row r="114" spans="3:6" x14ac:dyDescent="0.25">
      <c r="C114" s="29"/>
      <c r="D114"/>
      <c r="E114"/>
      <c r="F114" s="15"/>
    </row>
    <row r="115" spans="3:6" x14ac:dyDescent="0.25">
      <c r="C115" s="29"/>
      <c r="D115"/>
      <c r="E115"/>
      <c r="F115" s="15"/>
    </row>
    <row r="116" spans="3:6" x14ac:dyDescent="0.25">
      <c r="C116" s="29"/>
      <c r="D116"/>
      <c r="E116"/>
      <c r="F116" s="15"/>
    </row>
    <row r="117" spans="3:6" x14ac:dyDescent="0.25">
      <c r="C117" s="29"/>
      <c r="D117"/>
      <c r="E117"/>
      <c r="F117" s="15"/>
    </row>
    <row r="118" spans="3:6" x14ac:dyDescent="0.25">
      <c r="C118" s="29"/>
      <c r="D118"/>
      <c r="E118"/>
      <c r="F118" s="15"/>
    </row>
    <row r="119" spans="3:6" x14ac:dyDescent="0.25">
      <c r="C119" s="29"/>
      <c r="D119"/>
      <c r="E119"/>
      <c r="F119" s="15"/>
    </row>
    <row r="120" spans="3:6" x14ac:dyDescent="0.25">
      <c r="C120" s="29"/>
      <c r="D120"/>
      <c r="E120"/>
      <c r="F120" s="15"/>
    </row>
    <row r="121" spans="3:6" x14ac:dyDescent="0.25">
      <c r="C121" s="29"/>
      <c r="D121"/>
      <c r="E121"/>
      <c r="F121" s="15"/>
    </row>
    <row r="122" spans="3:6" x14ac:dyDescent="0.25">
      <c r="C122" s="29"/>
      <c r="D122"/>
      <c r="E122"/>
      <c r="F122" s="15"/>
    </row>
    <row r="123" spans="3:6" x14ac:dyDescent="0.25">
      <c r="C123" s="29"/>
      <c r="D123"/>
      <c r="E123"/>
      <c r="F123" s="15"/>
    </row>
    <row r="124" spans="3:6" x14ac:dyDescent="0.25">
      <c r="C124" s="29"/>
      <c r="D124"/>
      <c r="E124"/>
      <c r="F124" s="15"/>
    </row>
    <row r="125" spans="3:6" x14ac:dyDescent="0.25">
      <c r="C125" s="29"/>
      <c r="D125"/>
      <c r="E125"/>
      <c r="F125" s="15"/>
    </row>
    <row r="126" spans="3:6" x14ac:dyDescent="0.25">
      <c r="C126" s="29"/>
      <c r="D126"/>
      <c r="E126"/>
      <c r="F126" s="15"/>
    </row>
    <row r="127" spans="3:6" x14ac:dyDescent="0.25">
      <c r="C127" s="29"/>
      <c r="D127"/>
      <c r="E127"/>
      <c r="F127" s="15"/>
    </row>
    <row r="128" spans="3:6" x14ac:dyDescent="0.25">
      <c r="C128" s="29"/>
      <c r="D128"/>
      <c r="E128"/>
      <c r="F128" s="15"/>
    </row>
    <row r="129" spans="3:6" x14ac:dyDescent="0.25">
      <c r="C129" s="29"/>
      <c r="D129"/>
      <c r="E129"/>
      <c r="F129" s="15"/>
    </row>
    <row r="130" spans="3:6" x14ac:dyDescent="0.25">
      <c r="C130" s="29"/>
      <c r="D130"/>
      <c r="E130"/>
      <c r="F130" s="15"/>
    </row>
    <row r="131" spans="3:6" x14ac:dyDescent="0.25">
      <c r="C131" s="29"/>
      <c r="D131"/>
      <c r="E131"/>
      <c r="F131" s="15"/>
    </row>
    <row r="132" spans="3:6" x14ac:dyDescent="0.25">
      <c r="C132" s="29"/>
      <c r="D132"/>
      <c r="E132"/>
      <c r="F132" s="15"/>
    </row>
    <row r="133" spans="3:6" x14ac:dyDescent="0.25">
      <c r="C133" s="29"/>
      <c r="D133"/>
      <c r="E133"/>
      <c r="F133" s="15"/>
    </row>
    <row r="134" spans="3:6" x14ac:dyDescent="0.25">
      <c r="C134" s="29"/>
      <c r="D134"/>
      <c r="E134"/>
      <c r="F134" s="15"/>
    </row>
    <row r="135" spans="3:6" x14ac:dyDescent="0.25">
      <c r="C135" s="29"/>
      <c r="D135"/>
      <c r="E135"/>
      <c r="F135" s="15"/>
    </row>
    <row r="136" spans="3:6" x14ac:dyDescent="0.25">
      <c r="C136" s="29"/>
      <c r="D136"/>
      <c r="E136"/>
      <c r="F136" s="15"/>
    </row>
    <row r="137" spans="3:6" x14ac:dyDescent="0.25">
      <c r="C137" s="29"/>
      <c r="D137"/>
      <c r="E137"/>
      <c r="F137" s="15"/>
    </row>
    <row r="138" spans="3:6" x14ac:dyDescent="0.25">
      <c r="C138" s="29"/>
      <c r="D138"/>
      <c r="E138"/>
      <c r="F138" s="15"/>
    </row>
    <row r="139" spans="3:6" x14ac:dyDescent="0.25">
      <c r="C139" s="29"/>
      <c r="D139"/>
      <c r="E139"/>
      <c r="F139" s="15"/>
    </row>
    <row r="140" spans="3:6" x14ac:dyDescent="0.25">
      <c r="C140" s="29"/>
      <c r="D140"/>
      <c r="E140"/>
      <c r="F140" s="15"/>
    </row>
    <row r="141" spans="3:6" x14ac:dyDescent="0.25">
      <c r="C141" s="29"/>
      <c r="D141"/>
      <c r="E141"/>
      <c r="F141" s="15"/>
    </row>
    <row r="142" spans="3:6" x14ac:dyDescent="0.25">
      <c r="C142" s="29"/>
      <c r="D142"/>
      <c r="E142"/>
      <c r="F142" s="15"/>
    </row>
    <row r="143" spans="3:6" x14ac:dyDescent="0.25">
      <c r="C143" s="29"/>
      <c r="D143"/>
      <c r="E143"/>
      <c r="F143" s="15"/>
    </row>
    <row r="144" spans="3:6" x14ac:dyDescent="0.25">
      <c r="C144" s="29"/>
      <c r="D144"/>
      <c r="E144"/>
      <c r="F144" s="15"/>
    </row>
    <row r="145" spans="3:6" x14ac:dyDescent="0.25">
      <c r="C145" s="29"/>
      <c r="D145"/>
      <c r="E145"/>
      <c r="F145" s="15"/>
    </row>
    <row r="146" spans="3:6" x14ac:dyDescent="0.25">
      <c r="C146" s="29"/>
      <c r="D146"/>
      <c r="E146"/>
      <c r="F146" s="15"/>
    </row>
    <row r="147" spans="3:6" x14ac:dyDescent="0.25">
      <c r="C147" s="29"/>
      <c r="D147"/>
      <c r="E147"/>
      <c r="F147" s="15"/>
    </row>
    <row r="148" spans="3:6" x14ac:dyDescent="0.25">
      <c r="C148" s="29"/>
      <c r="D148"/>
      <c r="E148"/>
      <c r="F148" s="15"/>
    </row>
    <row r="149" spans="3:6" x14ac:dyDescent="0.25">
      <c r="C149" s="29"/>
      <c r="D149"/>
      <c r="E149"/>
      <c r="F149" s="15"/>
    </row>
    <row r="150" spans="3:6" x14ac:dyDescent="0.25">
      <c r="C150" s="29"/>
      <c r="D150"/>
      <c r="E150"/>
      <c r="F150" s="15"/>
    </row>
    <row r="151" spans="3:6" x14ac:dyDescent="0.25">
      <c r="C151" s="29"/>
      <c r="D151"/>
      <c r="E151"/>
      <c r="F151" s="15"/>
    </row>
    <row r="152" spans="3:6" x14ac:dyDescent="0.25">
      <c r="C152" s="29"/>
      <c r="D152"/>
      <c r="E152"/>
      <c r="F152" s="15"/>
    </row>
    <row r="153" spans="3:6" x14ac:dyDescent="0.25">
      <c r="C153" s="29"/>
      <c r="D153"/>
      <c r="E153"/>
      <c r="F153" s="15"/>
    </row>
    <row r="154" spans="3:6" x14ac:dyDescent="0.25">
      <c r="C154" s="29"/>
      <c r="D154"/>
      <c r="E154"/>
      <c r="F154" s="15"/>
    </row>
    <row r="155" spans="3:6" x14ac:dyDescent="0.25">
      <c r="C155" s="29"/>
      <c r="D155"/>
      <c r="E155"/>
      <c r="F155" s="15"/>
    </row>
    <row r="156" spans="3:6" x14ac:dyDescent="0.25">
      <c r="C156" s="29"/>
      <c r="D156"/>
      <c r="E156"/>
      <c r="F156" s="15"/>
    </row>
    <row r="157" spans="3:6" x14ac:dyDescent="0.25">
      <c r="C157" s="29"/>
      <c r="D157"/>
      <c r="E157"/>
      <c r="F157" s="15"/>
    </row>
    <row r="158" spans="3:6" x14ac:dyDescent="0.25">
      <c r="C158" s="29"/>
      <c r="D158"/>
      <c r="E158"/>
      <c r="F158" s="15"/>
    </row>
    <row r="159" spans="3:6" x14ac:dyDescent="0.25">
      <c r="C159" s="29"/>
      <c r="D159"/>
      <c r="E159"/>
      <c r="F159" s="15"/>
    </row>
    <row r="160" spans="3:6" x14ac:dyDescent="0.25">
      <c r="C160" s="29"/>
      <c r="D160"/>
      <c r="E160"/>
      <c r="F160" s="15"/>
    </row>
    <row r="161" spans="3:6" x14ac:dyDescent="0.25">
      <c r="C161" s="29"/>
      <c r="D161"/>
      <c r="E161"/>
      <c r="F161" s="15"/>
    </row>
    <row r="162" spans="3:6" x14ac:dyDescent="0.25">
      <c r="C162" s="29"/>
      <c r="D162"/>
      <c r="E162"/>
      <c r="F162" s="15"/>
    </row>
    <row r="163" spans="3:6" x14ac:dyDescent="0.25">
      <c r="C163" s="29"/>
      <c r="D163"/>
      <c r="E163"/>
      <c r="F163" s="15"/>
    </row>
    <row r="164" spans="3:6" x14ac:dyDescent="0.25">
      <c r="C164" s="29"/>
      <c r="D164"/>
      <c r="E164"/>
      <c r="F164" s="15"/>
    </row>
    <row r="165" spans="3:6" x14ac:dyDescent="0.25">
      <c r="C165" s="29"/>
      <c r="D165"/>
      <c r="E165"/>
      <c r="F165" s="15"/>
    </row>
    <row r="166" spans="3:6" x14ac:dyDescent="0.25">
      <c r="C166" s="29"/>
      <c r="D166"/>
      <c r="E166"/>
      <c r="F166" s="15"/>
    </row>
    <row r="167" spans="3:6" x14ac:dyDescent="0.25">
      <c r="C167" s="29"/>
      <c r="D167"/>
      <c r="E167"/>
      <c r="F167" s="15"/>
    </row>
    <row r="168" spans="3:6" x14ac:dyDescent="0.25">
      <c r="C168" s="29"/>
      <c r="D168"/>
      <c r="E168"/>
      <c r="F168" s="15"/>
    </row>
    <row r="169" spans="3:6" x14ac:dyDescent="0.25">
      <c r="C169" s="29"/>
      <c r="D169"/>
      <c r="E169"/>
      <c r="F169" s="15"/>
    </row>
  </sheetData>
  <conditionalFormatting sqref="G2:G72">
    <cfRule type="expression" dxfId="5" priority="1">
      <formula>($G2-$A2)&lt;0</formula>
    </cfRule>
    <cfRule type="expression" dxfId="4" priority="2">
      <formula>($G2-$A2)&lt;30</formula>
    </cfRule>
  </conditionalFormatting>
  <conditionalFormatting sqref="K1:K1048576 O1:O1048576 S1:S1048576 W1:W1048576 AA1:AA1048576">
    <cfRule type="cellIs" dxfId="3" priority="7" operator="lessThan">
      <formula>0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52992-E4A8-437E-B303-4198009F0743}">
  <sheetPr codeName="Hoja20"/>
  <dimension ref="A1:AC138"/>
  <sheetViews>
    <sheetView showGridLines="0" zoomScale="96" zoomScaleNormal="110" workbookViewId="0">
      <pane xSplit="7" ySplit="1" topLeftCell="L2" activePane="bottomRight" state="frozen"/>
      <selection activeCell="H28" sqref="H28"/>
      <selection pane="topRight" activeCell="H28" sqref="H28"/>
      <selection pane="bottomLeft" activeCell="H28" sqref="H28"/>
      <selection pane="bottomRight" activeCell="E33" sqref="E33"/>
    </sheetView>
  </sheetViews>
  <sheetFormatPr baseColWidth="10" defaultColWidth="11.42578125" defaultRowHeight="15" x14ac:dyDescent="0.25"/>
  <cols>
    <col min="1" max="1" width="11.42578125" style="28"/>
    <col min="2" max="2" width="11.42578125" style="15"/>
    <col min="3" max="3" width="9.85546875" style="34" bestFit="1" customWidth="1"/>
    <col min="4" max="4" width="13.5703125" style="15" bestFit="1" customWidth="1"/>
    <col min="5" max="5" width="25.85546875" style="35" customWidth="1"/>
    <col min="6" max="6" width="12" style="35" bestFit="1" customWidth="1"/>
    <col min="7" max="7" width="11.42578125" style="28" customWidth="1"/>
    <col min="8" max="8" width="21.85546875" style="30" bestFit="1" customWidth="1"/>
    <col min="9" max="9" width="21.85546875" style="15" customWidth="1"/>
    <col min="10" max="10" width="21.85546875" style="30" customWidth="1"/>
    <col min="11" max="11" width="29.140625" style="30" bestFit="1" customWidth="1"/>
    <col min="12" max="12" width="17.85546875" style="15" bestFit="1" customWidth="1"/>
    <col min="13" max="13" width="17.85546875" style="15" customWidth="1"/>
    <col min="14" max="14" width="17.85546875" style="30" customWidth="1"/>
    <col min="15" max="15" width="17.85546875" style="15" customWidth="1"/>
    <col min="16" max="16" width="20.28515625" style="30" bestFit="1" customWidth="1"/>
    <col min="17" max="17" width="20.28515625" style="15" customWidth="1"/>
    <col min="18" max="19" width="20.28515625" style="30" customWidth="1"/>
    <col min="20" max="20" width="16.5703125" style="15" bestFit="1" customWidth="1"/>
    <col min="21" max="21" width="16.5703125" style="15" customWidth="1"/>
    <col min="22" max="22" width="16.5703125" style="30" customWidth="1"/>
    <col min="23" max="23" width="16.5703125" style="15" customWidth="1"/>
    <col min="24" max="24" width="9.85546875" style="32" bestFit="1" customWidth="1"/>
    <col min="25" max="25" width="12.85546875" bestFit="1" customWidth="1"/>
    <col min="26" max="26" width="51.85546875" bestFit="1" customWidth="1"/>
    <col min="27" max="27" width="11.42578125" style="32"/>
    <col min="28" max="28" width="14.7109375" style="30" bestFit="1" customWidth="1"/>
    <col min="29" max="29" width="15.140625" style="33" bestFit="1" customWidth="1"/>
    <col min="30" max="30" width="18" style="15" bestFit="1" customWidth="1"/>
    <col min="31" max="31" width="19.42578125" style="15" bestFit="1" customWidth="1"/>
    <col min="32" max="16384" width="11.42578125" style="15"/>
  </cols>
  <sheetData>
    <row r="1" spans="1:29" s="10" customFormat="1" ht="13.5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4" t="s">
        <v>7</v>
      </c>
      <c r="I1" s="5" t="s">
        <v>8</v>
      </c>
      <c r="J1" s="8" t="s">
        <v>9</v>
      </c>
      <c r="K1" s="7" t="s">
        <v>10</v>
      </c>
      <c r="L1" s="4" t="s">
        <v>11</v>
      </c>
      <c r="M1" s="5" t="s">
        <v>12</v>
      </c>
      <c r="N1" s="8" t="s">
        <v>13</v>
      </c>
      <c r="O1" s="7" t="s">
        <v>14</v>
      </c>
      <c r="P1" s="4" t="s">
        <v>19</v>
      </c>
      <c r="Q1" s="5" t="s">
        <v>20</v>
      </c>
      <c r="R1" s="8" t="s">
        <v>21</v>
      </c>
      <c r="S1" s="7" t="s">
        <v>22</v>
      </c>
      <c r="T1" s="4" t="s">
        <v>23</v>
      </c>
      <c r="U1" s="9" t="s">
        <v>24</v>
      </c>
      <c r="V1" s="36" t="s">
        <v>25</v>
      </c>
      <c r="W1" s="2" t="s">
        <v>26</v>
      </c>
      <c r="X1" s="5" t="s">
        <v>27</v>
      </c>
      <c r="Y1" s="5" t="s">
        <v>28</v>
      </c>
      <c r="Z1" s="5" t="s">
        <v>29</v>
      </c>
    </row>
    <row r="2" spans="1:29" ht="13.5" x14ac:dyDescent="0.25">
      <c r="A2" s="11">
        <v>46175</v>
      </c>
      <c r="B2" s="12" t="s">
        <v>57</v>
      </c>
      <c r="C2" s="13"/>
      <c r="D2" s="14">
        <v>4276</v>
      </c>
      <c r="E2" s="15"/>
      <c r="F2" s="12">
        <v>102</v>
      </c>
      <c r="G2" s="11">
        <v>46203</v>
      </c>
      <c r="H2" s="16">
        <v>0</v>
      </c>
      <c r="I2" s="12">
        <v>0</v>
      </c>
      <c r="J2" s="16">
        <v>0</v>
      </c>
      <c r="K2" s="16">
        <v>0</v>
      </c>
      <c r="L2" s="16">
        <v>15000000</v>
      </c>
      <c r="M2" s="12">
        <v>7</v>
      </c>
      <c r="N2" s="16">
        <v>10513168.77</v>
      </c>
      <c r="O2" s="16">
        <v>4486831.2300000004</v>
      </c>
      <c r="P2" s="16"/>
      <c r="Q2" s="12"/>
      <c r="R2" s="16">
        <v>0</v>
      </c>
      <c r="S2" s="16">
        <v>0</v>
      </c>
      <c r="T2" s="16">
        <v>2000000</v>
      </c>
      <c r="U2" s="18">
        <v>17000000</v>
      </c>
      <c r="V2" s="16">
        <v>10513168.77</v>
      </c>
      <c r="W2" s="19">
        <v>6486831.2300000004</v>
      </c>
      <c r="X2" s="12" t="s">
        <v>58</v>
      </c>
      <c r="Y2" s="12" t="s">
        <v>61</v>
      </c>
      <c r="Z2" s="12"/>
      <c r="AA2" s="15"/>
      <c r="AB2" s="15"/>
      <c r="AC2" s="15"/>
    </row>
    <row r="3" spans="1:29" ht="13.5" x14ac:dyDescent="0.25">
      <c r="A3" s="11">
        <v>46175</v>
      </c>
      <c r="B3" s="12" t="s">
        <v>57</v>
      </c>
      <c r="C3" s="13"/>
      <c r="D3" s="14">
        <v>4291</v>
      </c>
      <c r="E3" s="15"/>
      <c r="F3" s="12">
        <v>104</v>
      </c>
      <c r="G3" s="11">
        <v>46326</v>
      </c>
      <c r="H3" s="16">
        <v>0</v>
      </c>
      <c r="I3" s="12">
        <v>0</v>
      </c>
      <c r="J3" s="16">
        <v>0</v>
      </c>
      <c r="K3" s="16">
        <v>0</v>
      </c>
      <c r="L3" s="16">
        <v>1000000</v>
      </c>
      <c r="M3" s="12">
        <v>90</v>
      </c>
      <c r="N3" s="16">
        <v>0</v>
      </c>
      <c r="O3" s="16">
        <v>1000000</v>
      </c>
      <c r="P3" s="16"/>
      <c r="Q3" s="12"/>
      <c r="R3" s="16">
        <v>0</v>
      </c>
      <c r="S3" s="16">
        <v>0</v>
      </c>
      <c r="T3" s="16"/>
      <c r="U3" s="18">
        <v>1000000</v>
      </c>
      <c r="V3" s="16">
        <v>0</v>
      </c>
      <c r="W3" s="19">
        <v>1000000</v>
      </c>
      <c r="X3" s="12" t="s">
        <v>62</v>
      </c>
      <c r="Y3" s="12" t="s">
        <v>64</v>
      </c>
      <c r="Z3" s="12" t="s">
        <v>33</v>
      </c>
      <c r="AA3" s="15"/>
      <c r="AB3" s="15"/>
      <c r="AC3" s="15"/>
    </row>
    <row r="4" spans="1:29" ht="13.5" x14ac:dyDescent="0.25">
      <c r="A4" s="11">
        <v>46175</v>
      </c>
      <c r="B4" s="12" t="s">
        <v>57</v>
      </c>
      <c r="C4" s="13"/>
      <c r="D4" s="14">
        <v>4259</v>
      </c>
      <c r="E4" s="15"/>
      <c r="F4" s="12">
        <v>104</v>
      </c>
      <c r="G4" s="11">
        <v>46387</v>
      </c>
      <c r="H4" s="16">
        <v>0</v>
      </c>
      <c r="I4" s="12">
        <v>0</v>
      </c>
      <c r="J4" s="16">
        <v>0</v>
      </c>
      <c r="K4" s="16">
        <v>0</v>
      </c>
      <c r="L4" s="16">
        <v>5000000</v>
      </c>
      <c r="M4" s="12">
        <v>180</v>
      </c>
      <c r="N4" s="16">
        <v>0</v>
      </c>
      <c r="O4" s="16">
        <v>5000000</v>
      </c>
      <c r="P4" s="16"/>
      <c r="Q4" s="12"/>
      <c r="R4" s="16">
        <v>0</v>
      </c>
      <c r="S4" s="16">
        <v>0</v>
      </c>
      <c r="T4" s="16"/>
      <c r="U4" s="18">
        <v>5000000</v>
      </c>
      <c r="V4" s="22">
        <v>0</v>
      </c>
      <c r="W4" s="19">
        <v>5000000</v>
      </c>
      <c r="X4" s="12" t="s">
        <v>62</v>
      </c>
      <c r="Y4" s="12" t="s">
        <v>64</v>
      </c>
      <c r="Z4" s="12"/>
      <c r="AA4" s="15"/>
      <c r="AB4" s="15"/>
      <c r="AC4" s="15"/>
    </row>
    <row r="5" spans="1:29" ht="13.5" x14ac:dyDescent="0.25">
      <c r="A5" s="11">
        <v>46175</v>
      </c>
      <c r="B5" s="12" t="s">
        <v>1</v>
      </c>
      <c r="C5" s="13"/>
      <c r="D5" s="14">
        <v>351</v>
      </c>
      <c r="E5" s="15"/>
      <c r="F5" s="12">
        <v>106</v>
      </c>
      <c r="G5" s="11">
        <v>46265</v>
      </c>
      <c r="H5" s="16">
        <v>0</v>
      </c>
      <c r="I5" s="12">
        <v>0</v>
      </c>
      <c r="J5" s="16">
        <v>0</v>
      </c>
      <c r="K5" s="16">
        <v>0</v>
      </c>
      <c r="L5" s="16">
        <v>5000000</v>
      </c>
      <c r="M5" s="12">
        <v>30</v>
      </c>
      <c r="N5" s="16">
        <v>4702860.6399999997</v>
      </c>
      <c r="O5" s="16">
        <v>297139.36000000034</v>
      </c>
      <c r="P5" s="16"/>
      <c r="Q5" s="12"/>
      <c r="R5" s="16">
        <v>0</v>
      </c>
      <c r="S5" s="16">
        <v>0</v>
      </c>
      <c r="T5" s="16"/>
      <c r="U5" s="18">
        <v>5000000</v>
      </c>
      <c r="V5" s="16">
        <v>4702860.6399999997</v>
      </c>
      <c r="W5" s="19">
        <v>297139.36000000034</v>
      </c>
      <c r="X5" s="12" t="s">
        <v>58</v>
      </c>
      <c r="Y5" s="12" t="s">
        <v>67</v>
      </c>
      <c r="Z5" s="12" t="s">
        <v>38</v>
      </c>
      <c r="AA5" s="15"/>
      <c r="AB5" s="15"/>
      <c r="AC5" s="15"/>
    </row>
    <row r="6" spans="1:29" ht="13.5" x14ac:dyDescent="0.25">
      <c r="A6" s="11">
        <v>46175</v>
      </c>
      <c r="B6" s="12" t="s">
        <v>1</v>
      </c>
      <c r="C6" s="13"/>
      <c r="D6" s="14">
        <v>890903937</v>
      </c>
      <c r="E6" s="15"/>
      <c r="F6" s="12">
        <v>108</v>
      </c>
      <c r="G6" s="11">
        <v>46265</v>
      </c>
      <c r="H6" s="16">
        <v>0</v>
      </c>
      <c r="I6" s="12">
        <v>0</v>
      </c>
      <c r="J6" s="16">
        <v>0</v>
      </c>
      <c r="K6" s="16">
        <v>0</v>
      </c>
      <c r="L6" s="16">
        <v>60000000</v>
      </c>
      <c r="M6" s="12">
        <v>365</v>
      </c>
      <c r="N6" s="16">
        <v>20000000</v>
      </c>
      <c r="O6" s="16">
        <v>40000000</v>
      </c>
      <c r="P6" s="16"/>
      <c r="Q6" s="12"/>
      <c r="R6" s="16">
        <v>0</v>
      </c>
      <c r="S6" s="16">
        <v>0</v>
      </c>
      <c r="T6" s="16"/>
      <c r="U6" s="18">
        <v>60000000</v>
      </c>
      <c r="V6" s="16">
        <v>20000000</v>
      </c>
      <c r="W6" s="19">
        <v>40000000</v>
      </c>
      <c r="X6" s="12" t="s">
        <v>62</v>
      </c>
      <c r="Y6" s="12" t="s">
        <v>71</v>
      </c>
      <c r="Z6" s="12"/>
      <c r="AA6" s="15"/>
      <c r="AB6" s="15"/>
      <c r="AC6" s="15"/>
    </row>
    <row r="7" spans="1:29" ht="13.5" x14ac:dyDescent="0.25">
      <c r="A7" s="11">
        <v>46175</v>
      </c>
      <c r="B7" s="12" t="s">
        <v>57</v>
      </c>
      <c r="C7" s="13"/>
      <c r="D7" s="14">
        <v>860002964</v>
      </c>
      <c r="E7" s="15"/>
      <c r="F7" s="12">
        <v>108</v>
      </c>
      <c r="G7" s="11">
        <v>46234</v>
      </c>
      <c r="H7" s="16">
        <v>0</v>
      </c>
      <c r="I7" s="12">
        <v>0</v>
      </c>
      <c r="J7" s="16">
        <v>0</v>
      </c>
      <c r="K7" s="16">
        <v>0</v>
      </c>
      <c r="L7" s="16">
        <v>4000000</v>
      </c>
      <c r="M7" s="12">
        <v>365</v>
      </c>
      <c r="N7" s="16">
        <v>0</v>
      </c>
      <c r="O7" s="16">
        <v>4000000</v>
      </c>
      <c r="P7" s="16">
        <v>11000000</v>
      </c>
      <c r="Q7" s="12">
        <v>365</v>
      </c>
      <c r="R7" s="16">
        <v>0</v>
      </c>
      <c r="S7" s="16">
        <v>11000000</v>
      </c>
      <c r="T7" s="16"/>
      <c r="U7" s="18">
        <v>15000000</v>
      </c>
      <c r="V7" s="16">
        <v>0</v>
      </c>
      <c r="W7" s="19">
        <v>15000000</v>
      </c>
      <c r="X7" s="12" t="s">
        <v>62</v>
      </c>
      <c r="Y7" s="12" t="s">
        <v>64</v>
      </c>
      <c r="Z7" s="12" t="s">
        <v>33</v>
      </c>
      <c r="AA7" s="15"/>
      <c r="AB7" s="15"/>
      <c r="AC7" s="15"/>
    </row>
    <row r="8" spans="1:29" ht="13.5" x14ac:dyDescent="0.25">
      <c r="A8" s="11">
        <v>46175</v>
      </c>
      <c r="B8" s="12" t="s">
        <v>57</v>
      </c>
      <c r="C8" s="13"/>
      <c r="D8" s="14">
        <v>860003020</v>
      </c>
      <c r="E8" s="15"/>
      <c r="F8" s="12">
        <v>108</v>
      </c>
      <c r="G8" s="11">
        <v>46507</v>
      </c>
      <c r="H8" s="16">
        <v>0</v>
      </c>
      <c r="I8" s="12">
        <v>0</v>
      </c>
      <c r="J8" s="16">
        <v>0</v>
      </c>
      <c r="K8" s="16">
        <v>0</v>
      </c>
      <c r="L8" s="16"/>
      <c r="M8" s="12"/>
      <c r="N8" s="16">
        <v>0</v>
      </c>
      <c r="O8" s="16">
        <v>0</v>
      </c>
      <c r="P8" s="16">
        <v>19000000</v>
      </c>
      <c r="Q8" s="12">
        <v>365</v>
      </c>
      <c r="R8" s="16">
        <v>0</v>
      </c>
      <c r="S8" s="16">
        <v>19000000</v>
      </c>
      <c r="T8" s="16"/>
      <c r="U8" s="18">
        <v>19000000</v>
      </c>
      <c r="V8" s="16">
        <v>0</v>
      </c>
      <c r="W8" s="19">
        <v>19000000</v>
      </c>
      <c r="X8" s="12" t="s">
        <v>62</v>
      </c>
      <c r="Y8" s="12" t="s">
        <v>74</v>
      </c>
      <c r="Z8" s="12"/>
      <c r="AA8" s="15"/>
      <c r="AB8" s="15"/>
      <c r="AC8" s="15"/>
    </row>
    <row r="9" spans="1:29" ht="13.5" x14ac:dyDescent="0.25">
      <c r="A9" s="11">
        <v>46175</v>
      </c>
      <c r="B9" s="12" t="s">
        <v>57</v>
      </c>
      <c r="C9" s="13"/>
      <c r="D9" s="14">
        <v>4227</v>
      </c>
      <c r="E9" s="15"/>
      <c r="F9" s="12">
        <v>110</v>
      </c>
      <c r="G9" s="11">
        <v>46203</v>
      </c>
      <c r="H9" s="16">
        <v>35000000</v>
      </c>
      <c r="I9" s="12">
        <v>1080</v>
      </c>
      <c r="J9" s="16">
        <v>0</v>
      </c>
      <c r="K9" s="16">
        <v>35000000</v>
      </c>
      <c r="L9" s="16"/>
      <c r="M9" s="12"/>
      <c r="N9" s="16">
        <v>0</v>
      </c>
      <c r="O9" s="16">
        <v>0</v>
      </c>
      <c r="P9" s="16"/>
      <c r="Q9" s="12"/>
      <c r="R9" s="16">
        <v>0</v>
      </c>
      <c r="S9" s="16">
        <v>0</v>
      </c>
      <c r="T9" s="16"/>
      <c r="U9" s="18">
        <v>35000000</v>
      </c>
      <c r="V9" s="16">
        <v>0</v>
      </c>
      <c r="W9" s="19">
        <v>35000000</v>
      </c>
      <c r="X9" s="12" t="s">
        <v>58</v>
      </c>
      <c r="Y9" s="12" t="s">
        <v>60</v>
      </c>
      <c r="Z9" s="12"/>
      <c r="AA9" s="15"/>
      <c r="AB9" s="15"/>
      <c r="AC9" s="15"/>
    </row>
    <row r="10" spans="1:29" ht="13.5" x14ac:dyDescent="0.25">
      <c r="A10" s="11">
        <v>46175</v>
      </c>
      <c r="B10" s="12" t="s">
        <v>57</v>
      </c>
      <c r="C10" s="13"/>
      <c r="D10" s="14">
        <v>4254</v>
      </c>
      <c r="E10" s="15"/>
      <c r="F10" s="12">
        <v>110</v>
      </c>
      <c r="G10" s="11">
        <v>46507</v>
      </c>
      <c r="H10" s="16">
        <v>0</v>
      </c>
      <c r="I10" s="12">
        <v>0</v>
      </c>
      <c r="J10" s="16">
        <v>0</v>
      </c>
      <c r="K10" s="16">
        <v>0</v>
      </c>
      <c r="L10" s="16">
        <v>15000000</v>
      </c>
      <c r="M10" s="12">
        <v>365</v>
      </c>
      <c r="N10" s="16">
        <v>3435515.58</v>
      </c>
      <c r="O10" s="16">
        <v>11564484.42</v>
      </c>
      <c r="P10" s="16"/>
      <c r="Q10" s="12"/>
      <c r="R10" s="16">
        <v>0</v>
      </c>
      <c r="S10" s="16">
        <v>0</v>
      </c>
      <c r="T10" s="16"/>
      <c r="U10" s="18">
        <v>15000000</v>
      </c>
      <c r="V10" s="16">
        <v>3435515.58</v>
      </c>
      <c r="W10" s="19">
        <v>11564484.42</v>
      </c>
      <c r="X10" s="12" t="s">
        <v>58</v>
      </c>
      <c r="Y10" s="12" t="s">
        <v>61</v>
      </c>
      <c r="Z10" s="12"/>
      <c r="AA10" s="15"/>
      <c r="AB10" s="15"/>
      <c r="AC10" s="15"/>
    </row>
    <row r="11" spans="1:29" ht="13.5" x14ac:dyDescent="0.25">
      <c r="A11" s="11">
        <v>46175</v>
      </c>
      <c r="B11" s="12" t="s">
        <v>57</v>
      </c>
      <c r="C11" s="13"/>
      <c r="D11" s="14">
        <v>4216</v>
      </c>
      <c r="E11" s="15"/>
      <c r="F11" s="12">
        <v>110</v>
      </c>
      <c r="G11" s="11">
        <v>46507</v>
      </c>
      <c r="H11" s="16"/>
      <c r="I11" s="12"/>
      <c r="J11" s="16">
        <v>0</v>
      </c>
      <c r="K11" s="16">
        <v>0</v>
      </c>
      <c r="L11" s="16">
        <v>25000000</v>
      </c>
      <c r="M11" s="12">
        <v>390</v>
      </c>
      <c r="N11" s="16">
        <v>0</v>
      </c>
      <c r="O11" s="16">
        <v>25000000</v>
      </c>
      <c r="P11" s="16"/>
      <c r="Q11" s="12"/>
      <c r="R11" s="16">
        <v>0</v>
      </c>
      <c r="S11" s="16">
        <v>0</v>
      </c>
      <c r="T11" s="16"/>
      <c r="U11" s="18">
        <v>25000000</v>
      </c>
      <c r="V11" s="16">
        <v>0</v>
      </c>
      <c r="W11" s="19">
        <v>25000000</v>
      </c>
      <c r="X11" s="12" t="s">
        <v>58</v>
      </c>
      <c r="Y11" s="12" t="s">
        <v>61</v>
      </c>
      <c r="Z11" s="12"/>
      <c r="AA11" s="15"/>
      <c r="AB11" s="15"/>
      <c r="AC11" s="15"/>
    </row>
    <row r="12" spans="1:29" ht="13.5" x14ac:dyDescent="0.25">
      <c r="A12" s="11">
        <v>46175</v>
      </c>
      <c r="B12" s="12" t="s">
        <v>57</v>
      </c>
      <c r="C12" s="13"/>
      <c r="D12" s="14">
        <v>4282</v>
      </c>
      <c r="E12" s="15"/>
      <c r="F12" s="12">
        <v>111</v>
      </c>
      <c r="G12" s="11">
        <v>46326</v>
      </c>
      <c r="H12" s="16">
        <v>10000000</v>
      </c>
      <c r="I12" s="12">
        <v>365</v>
      </c>
      <c r="J12" s="16">
        <v>0</v>
      </c>
      <c r="K12" s="16">
        <v>10000000</v>
      </c>
      <c r="L12" s="16">
        <v>40000000</v>
      </c>
      <c r="M12" s="12">
        <v>30</v>
      </c>
      <c r="N12" s="16">
        <v>22658356.420000002</v>
      </c>
      <c r="O12" s="16">
        <v>17341643.579999998</v>
      </c>
      <c r="P12" s="16"/>
      <c r="Q12" s="12"/>
      <c r="R12" s="16">
        <v>0</v>
      </c>
      <c r="S12" s="16">
        <v>0</v>
      </c>
      <c r="T12" s="16">
        <v>1000000</v>
      </c>
      <c r="U12" s="18">
        <v>51000000</v>
      </c>
      <c r="V12" s="16">
        <v>22658356.420000002</v>
      </c>
      <c r="W12" s="19">
        <v>28341643.579999998</v>
      </c>
      <c r="X12" s="12" t="s">
        <v>58</v>
      </c>
      <c r="Y12" s="12" t="s">
        <v>61</v>
      </c>
      <c r="Z12" s="12"/>
      <c r="AA12" s="15"/>
      <c r="AB12" s="15"/>
      <c r="AC12" s="15"/>
    </row>
    <row r="13" spans="1:29" ht="13.5" x14ac:dyDescent="0.25">
      <c r="A13" s="11">
        <v>46175</v>
      </c>
      <c r="B13" s="12" t="s">
        <v>57</v>
      </c>
      <c r="C13" s="13"/>
      <c r="D13" s="14">
        <v>4357</v>
      </c>
      <c r="E13" s="15"/>
      <c r="F13" s="12">
        <v>111</v>
      </c>
      <c r="G13" s="11">
        <v>46326</v>
      </c>
      <c r="H13" s="16"/>
      <c r="I13" s="12"/>
      <c r="J13" s="16">
        <v>0</v>
      </c>
      <c r="K13" s="16">
        <v>0</v>
      </c>
      <c r="L13" s="16">
        <v>113500000</v>
      </c>
      <c r="M13" s="12">
        <v>180</v>
      </c>
      <c r="N13" s="16">
        <v>110859402.79000001</v>
      </c>
      <c r="O13" s="16">
        <v>2640597.2099999934</v>
      </c>
      <c r="P13" s="16"/>
      <c r="Q13" s="12"/>
      <c r="R13" s="16">
        <v>0</v>
      </c>
      <c r="S13" s="16">
        <v>0</v>
      </c>
      <c r="T13" s="16"/>
      <c r="U13" s="18">
        <v>113500000</v>
      </c>
      <c r="V13" s="16">
        <v>110859402.79000001</v>
      </c>
      <c r="W13" s="19">
        <v>2640597.2099999934</v>
      </c>
      <c r="X13" s="37" t="s">
        <v>58</v>
      </c>
      <c r="Y13" s="12" t="s">
        <v>70</v>
      </c>
      <c r="Z13" s="12" t="s">
        <v>55</v>
      </c>
      <c r="AA13" s="15"/>
      <c r="AB13" s="15"/>
      <c r="AC13" s="15"/>
    </row>
    <row r="14" spans="1:29" ht="13.5" x14ac:dyDescent="0.25">
      <c r="A14" s="11">
        <v>46175</v>
      </c>
      <c r="B14" s="12" t="s">
        <v>57</v>
      </c>
      <c r="C14" s="13"/>
      <c r="D14" s="14">
        <v>4222</v>
      </c>
      <c r="E14" s="15"/>
      <c r="F14" s="12">
        <v>111</v>
      </c>
      <c r="G14" s="11">
        <v>46326</v>
      </c>
      <c r="H14" s="16">
        <v>4000000</v>
      </c>
      <c r="I14" s="12">
        <v>390</v>
      </c>
      <c r="J14" s="16">
        <v>0</v>
      </c>
      <c r="K14" s="16">
        <v>4000000</v>
      </c>
      <c r="L14" s="16">
        <v>40000000</v>
      </c>
      <c r="M14" s="12">
        <v>30</v>
      </c>
      <c r="N14" s="16">
        <v>39734230.670000002</v>
      </c>
      <c r="O14" s="16">
        <v>265769.32999999821</v>
      </c>
      <c r="P14" s="16"/>
      <c r="Q14" s="12"/>
      <c r="R14" s="16">
        <v>0</v>
      </c>
      <c r="S14" s="16">
        <v>0</v>
      </c>
      <c r="T14" s="16"/>
      <c r="U14" s="18">
        <v>44000000</v>
      </c>
      <c r="V14" s="16">
        <v>39734230.670000002</v>
      </c>
      <c r="W14" s="19">
        <v>4265769.3299999982</v>
      </c>
      <c r="X14" s="12" t="s">
        <v>58</v>
      </c>
      <c r="Y14" s="12" t="s">
        <v>59</v>
      </c>
      <c r="Z14" s="12"/>
      <c r="AA14" s="15"/>
      <c r="AB14" s="15"/>
      <c r="AC14" s="15"/>
    </row>
    <row r="15" spans="1:29" ht="13.5" x14ac:dyDescent="0.25">
      <c r="A15" s="11">
        <v>46175</v>
      </c>
      <c r="B15" s="12" t="s">
        <v>57</v>
      </c>
      <c r="C15" s="13"/>
      <c r="D15" s="14">
        <v>111</v>
      </c>
      <c r="E15" s="15"/>
      <c r="F15" s="12">
        <v>111</v>
      </c>
      <c r="G15" s="11">
        <v>46326</v>
      </c>
      <c r="H15" s="16">
        <v>0</v>
      </c>
      <c r="I15" s="12">
        <v>0</v>
      </c>
      <c r="J15" s="16">
        <v>0</v>
      </c>
      <c r="K15" s="16">
        <v>0</v>
      </c>
      <c r="L15" s="16"/>
      <c r="M15" s="12"/>
      <c r="N15" s="16">
        <v>0</v>
      </c>
      <c r="O15" s="16">
        <v>0</v>
      </c>
      <c r="P15" s="16"/>
      <c r="Q15" s="12"/>
      <c r="R15" s="16">
        <v>0</v>
      </c>
      <c r="S15" s="16">
        <v>0</v>
      </c>
      <c r="T15" s="16">
        <v>1000000</v>
      </c>
      <c r="U15" s="18">
        <v>1000000</v>
      </c>
      <c r="V15" s="16">
        <v>0</v>
      </c>
      <c r="W15" s="19">
        <v>1000000</v>
      </c>
      <c r="X15" s="12" t="s">
        <v>58</v>
      </c>
      <c r="Y15" s="12" t="s">
        <v>59</v>
      </c>
      <c r="Z15" s="12"/>
      <c r="AA15" s="15"/>
      <c r="AB15" s="15"/>
      <c r="AC15" s="15"/>
    </row>
    <row r="16" spans="1:29" ht="13.5" x14ac:dyDescent="0.25">
      <c r="A16" s="11">
        <v>46175</v>
      </c>
      <c r="B16" s="12" t="s">
        <v>57</v>
      </c>
      <c r="C16" s="13"/>
      <c r="D16" s="14">
        <v>4258</v>
      </c>
      <c r="E16" s="15"/>
      <c r="F16" s="12">
        <v>111</v>
      </c>
      <c r="G16" s="11">
        <v>46326</v>
      </c>
      <c r="H16" s="16">
        <v>0</v>
      </c>
      <c r="I16" s="12">
        <v>0</v>
      </c>
      <c r="J16" s="16">
        <v>0</v>
      </c>
      <c r="K16" s="16">
        <v>0</v>
      </c>
      <c r="L16" s="16">
        <v>60000000</v>
      </c>
      <c r="M16" s="12">
        <v>30</v>
      </c>
      <c r="N16" s="16">
        <v>10546062</v>
      </c>
      <c r="O16" s="16">
        <v>49453938</v>
      </c>
      <c r="P16" s="16"/>
      <c r="Q16" s="12"/>
      <c r="R16" s="16">
        <v>0</v>
      </c>
      <c r="S16" s="16">
        <v>0</v>
      </c>
      <c r="T16" s="16">
        <v>1000000</v>
      </c>
      <c r="U16" s="18">
        <v>61000000</v>
      </c>
      <c r="V16" s="16">
        <v>10546062</v>
      </c>
      <c r="W16" s="19">
        <v>50453938</v>
      </c>
      <c r="X16" s="12" t="s">
        <v>58</v>
      </c>
      <c r="Y16" s="12" t="s">
        <v>72</v>
      </c>
      <c r="Z16" s="12" t="s">
        <v>56</v>
      </c>
      <c r="AA16" s="15"/>
      <c r="AB16" s="15"/>
      <c r="AC16" s="15"/>
    </row>
    <row r="17" spans="1:29" ht="13.5" x14ac:dyDescent="0.25">
      <c r="A17" s="11">
        <v>46175</v>
      </c>
      <c r="B17" s="12" t="s">
        <v>57</v>
      </c>
      <c r="C17" s="13"/>
      <c r="D17" s="14">
        <v>50722</v>
      </c>
      <c r="E17" s="15"/>
      <c r="F17" s="12">
        <v>111</v>
      </c>
      <c r="G17" s="11">
        <v>46326</v>
      </c>
      <c r="H17" s="16">
        <v>0</v>
      </c>
      <c r="I17" s="12">
        <v>0</v>
      </c>
      <c r="J17" s="16">
        <v>0</v>
      </c>
      <c r="K17" s="16">
        <v>0</v>
      </c>
      <c r="L17" s="16"/>
      <c r="M17" s="12"/>
      <c r="N17" s="16">
        <v>0</v>
      </c>
      <c r="O17" s="16">
        <v>0</v>
      </c>
      <c r="P17" s="16"/>
      <c r="Q17" s="12"/>
      <c r="R17" s="16">
        <v>0</v>
      </c>
      <c r="S17" s="16">
        <v>0</v>
      </c>
      <c r="T17" s="16">
        <v>2000000</v>
      </c>
      <c r="U17" s="18">
        <v>2000000</v>
      </c>
      <c r="V17" s="16">
        <v>0</v>
      </c>
      <c r="W17" s="19">
        <v>2000000</v>
      </c>
      <c r="X17" s="12" t="s">
        <v>58</v>
      </c>
      <c r="Y17" s="12" t="s">
        <v>61</v>
      </c>
      <c r="Z17" s="12"/>
      <c r="AA17" s="15"/>
      <c r="AB17" s="15"/>
      <c r="AC17" s="15"/>
    </row>
    <row r="18" spans="1:29" ht="13.5" x14ac:dyDescent="0.25">
      <c r="A18" s="11">
        <v>46175</v>
      </c>
      <c r="B18" s="12" t="s">
        <v>57</v>
      </c>
      <c r="C18" s="13"/>
      <c r="D18" s="14">
        <v>4056</v>
      </c>
      <c r="E18" s="15"/>
      <c r="F18" s="12">
        <v>111</v>
      </c>
      <c r="G18" s="11">
        <v>46326</v>
      </c>
      <c r="H18" s="16">
        <v>0</v>
      </c>
      <c r="I18" s="12">
        <v>0</v>
      </c>
      <c r="J18" s="16">
        <v>0</v>
      </c>
      <c r="K18" s="16">
        <v>0</v>
      </c>
      <c r="L18" s="16">
        <v>39000000</v>
      </c>
      <c r="M18" s="12">
        <v>30</v>
      </c>
      <c r="N18" s="16">
        <v>12039438.539999999</v>
      </c>
      <c r="O18" s="16">
        <v>26960561.460000001</v>
      </c>
      <c r="P18" s="16"/>
      <c r="Q18" s="12"/>
      <c r="R18" s="16">
        <v>0</v>
      </c>
      <c r="S18" s="16">
        <v>0</v>
      </c>
      <c r="T18" s="16"/>
      <c r="U18" s="18">
        <v>39000000</v>
      </c>
      <c r="V18" s="16">
        <v>12039438.539999999</v>
      </c>
      <c r="W18" s="19">
        <v>26960561.460000001</v>
      </c>
      <c r="X18" s="12" t="s">
        <v>58</v>
      </c>
      <c r="Y18" s="12" t="s">
        <v>66</v>
      </c>
      <c r="Z18" s="12"/>
      <c r="AA18" s="15"/>
      <c r="AB18" s="15"/>
      <c r="AC18" s="15"/>
    </row>
    <row r="19" spans="1:29" ht="13.5" x14ac:dyDescent="0.25">
      <c r="A19" s="11">
        <v>46175</v>
      </c>
      <c r="B19" s="12" t="s">
        <v>57</v>
      </c>
      <c r="C19" s="13"/>
      <c r="D19" s="14">
        <v>363</v>
      </c>
      <c r="E19" s="15"/>
      <c r="F19" s="12">
        <v>111</v>
      </c>
      <c r="G19" s="11">
        <v>46326</v>
      </c>
      <c r="H19" s="16">
        <v>1000000</v>
      </c>
      <c r="I19" s="12">
        <v>390</v>
      </c>
      <c r="J19" s="16">
        <v>0</v>
      </c>
      <c r="K19" s="16">
        <v>1000000</v>
      </c>
      <c r="L19" s="16">
        <v>70000000</v>
      </c>
      <c r="M19" s="12">
        <v>30</v>
      </c>
      <c r="N19" s="16">
        <v>41769574.650000006</v>
      </c>
      <c r="O19" s="16">
        <v>28230425.349999994</v>
      </c>
      <c r="P19" s="16"/>
      <c r="Q19" s="12"/>
      <c r="R19" s="16">
        <v>0</v>
      </c>
      <c r="S19" s="16">
        <v>0</v>
      </c>
      <c r="T19" s="16">
        <v>1000000</v>
      </c>
      <c r="U19" s="18">
        <v>72000000</v>
      </c>
      <c r="V19" s="16">
        <v>41769574.650000006</v>
      </c>
      <c r="W19" s="19">
        <v>30230425.349999994</v>
      </c>
      <c r="X19" s="12" t="s">
        <v>58</v>
      </c>
      <c r="Y19" s="12" t="s">
        <v>59</v>
      </c>
      <c r="Z19" s="12"/>
      <c r="AA19" s="15"/>
      <c r="AB19" s="15"/>
      <c r="AC19" s="15"/>
    </row>
    <row r="20" spans="1:29" ht="13.5" x14ac:dyDescent="0.25">
      <c r="A20" s="11">
        <v>46175</v>
      </c>
      <c r="B20" s="12" t="s">
        <v>57</v>
      </c>
      <c r="C20" s="13"/>
      <c r="D20" s="14">
        <v>4376</v>
      </c>
      <c r="E20" s="15"/>
      <c r="F20" s="12">
        <v>111</v>
      </c>
      <c r="G20" s="11">
        <v>46477</v>
      </c>
      <c r="H20" s="16"/>
      <c r="I20" s="12"/>
      <c r="J20" s="16">
        <v>0</v>
      </c>
      <c r="K20" s="16">
        <v>0</v>
      </c>
      <c r="L20" s="16">
        <v>80000000</v>
      </c>
      <c r="M20" s="12">
        <v>90</v>
      </c>
      <c r="N20" s="16">
        <v>5056499.41</v>
      </c>
      <c r="O20" s="16">
        <v>74943500.590000004</v>
      </c>
      <c r="P20" s="16"/>
      <c r="Q20" s="12"/>
      <c r="R20" s="16">
        <v>0</v>
      </c>
      <c r="S20" s="16">
        <v>0</v>
      </c>
      <c r="T20" s="16"/>
      <c r="U20" s="18">
        <v>80000000</v>
      </c>
      <c r="V20" s="16">
        <v>5056499.41</v>
      </c>
      <c r="W20" s="19">
        <v>74943500.590000004</v>
      </c>
      <c r="X20" s="12" t="s">
        <v>58</v>
      </c>
      <c r="Y20" s="12" t="s">
        <v>70</v>
      </c>
      <c r="Z20" s="12"/>
      <c r="AA20" s="15"/>
      <c r="AB20" s="15"/>
      <c r="AC20" s="15"/>
    </row>
    <row r="21" spans="1:29" ht="13.5" x14ac:dyDescent="0.25">
      <c r="A21" s="11">
        <v>46175</v>
      </c>
      <c r="B21" s="12" t="s">
        <v>57</v>
      </c>
      <c r="C21" s="13"/>
      <c r="D21" s="14">
        <v>4392</v>
      </c>
      <c r="E21" s="15"/>
      <c r="F21" s="12">
        <v>104</v>
      </c>
      <c r="G21" s="11">
        <v>46477</v>
      </c>
      <c r="H21" s="16"/>
      <c r="I21" s="12"/>
      <c r="J21" s="16">
        <v>0</v>
      </c>
      <c r="K21" s="16">
        <v>0</v>
      </c>
      <c r="L21" s="16">
        <v>30000000</v>
      </c>
      <c r="M21" s="12">
        <v>730</v>
      </c>
      <c r="N21" s="16">
        <v>0</v>
      </c>
      <c r="O21" s="16">
        <v>30000000</v>
      </c>
      <c r="P21" s="16"/>
      <c r="Q21" s="12"/>
      <c r="R21" s="16">
        <v>0</v>
      </c>
      <c r="S21" s="16">
        <v>0</v>
      </c>
      <c r="T21" s="16"/>
      <c r="U21" s="18">
        <v>30000000</v>
      </c>
      <c r="V21" s="16">
        <v>0</v>
      </c>
      <c r="W21" s="19">
        <v>30000000</v>
      </c>
      <c r="X21" s="12" t="s">
        <v>62</v>
      </c>
      <c r="Y21" s="12" t="s">
        <v>64</v>
      </c>
      <c r="Z21" s="12"/>
      <c r="AA21" s="15"/>
      <c r="AB21" s="15"/>
      <c r="AC21" s="15"/>
    </row>
    <row r="22" spans="1:29" ht="13.5" x14ac:dyDescent="0.25">
      <c r="A22" s="11">
        <v>46175</v>
      </c>
      <c r="B22" s="12" t="s">
        <v>57</v>
      </c>
      <c r="C22" s="13"/>
      <c r="D22" s="14">
        <v>3442</v>
      </c>
      <c r="E22" s="15"/>
      <c r="F22" s="12">
        <v>112</v>
      </c>
      <c r="G22" s="11">
        <v>46446</v>
      </c>
      <c r="H22" s="16">
        <v>0</v>
      </c>
      <c r="I22" s="12">
        <v>0</v>
      </c>
      <c r="J22" s="16">
        <v>0</v>
      </c>
      <c r="K22" s="16">
        <v>0</v>
      </c>
      <c r="L22" s="16"/>
      <c r="M22" s="12"/>
      <c r="N22" s="16">
        <v>0</v>
      </c>
      <c r="O22" s="16">
        <v>0</v>
      </c>
      <c r="P22" s="16"/>
      <c r="Q22" s="12"/>
      <c r="R22" s="16">
        <v>0</v>
      </c>
      <c r="S22" s="16">
        <v>0</v>
      </c>
      <c r="T22" s="16">
        <v>1000000</v>
      </c>
      <c r="U22" s="18">
        <v>1000000</v>
      </c>
      <c r="V22" s="16">
        <v>0</v>
      </c>
      <c r="W22" s="19">
        <v>1000000</v>
      </c>
      <c r="X22" s="12" t="s">
        <v>58</v>
      </c>
      <c r="Y22" s="12" t="s">
        <v>59</v>
      </c>
      <c r="Z22" s="12"/>
      <c r="AA22" s="15"/>
      <c r="AB22" s="15"/>
      <c r="AC22" s="15"/>
    </row>
    <row r="23" spans="1:29" ht="13.5" x14ac:dyDescent="0.25">
      <c r="A23" s="11">
        <v>46175</v>
      </c>
      <c r="B23" s="12" t="s">
        <v>57</v>
      </c>
      <c r="C23" s="13"/>
      <c r="D23" s="14">
        <v>884</v>
      </c>
      <c r="E23" s="15"/>
      <c r="F23" s="12">
        <v>112</v>
      </c>
      <c r="G23" s="11">
        <v>46446</v>
      </c>
      <c r="H23" s="16">
        <v>0</v>
      </c>
      <c r="I23" s="12">
        <v>0</v>
      </c>
      <c r="J23" s="16">
        <v>0</v>
      </c>
      <c r="K23" s="16">
        <v>0</v>
      </c>
      <c r="L23" s="16">
        <v>20000000</v>
      </c>
      <c r="M23" s="12">
        <v>390</v>
      </c>
      <c r="N23" s="16">
        <v>0</v>
      </c>
      <c r="O23" s="16">
        <v>20000000</v>
      </c>
      <c r="P23" s="16"/>
      <c r="Q23" s="12"/>
      <c r="R23" s="16">
        <v>0</v>
      </c>
      <c r="S23" s="16">
        <v>0</v>
      </c>
      <c r="T23" s="16">
        <v>1000000</v>
      </c>
      <c r="U23" s="18">
        <v>21000000</v>
      </c>
      <c r="V23" s="16">
        <v>0</v>
      </c>
      <c r="W23" s="19">
        <v>21000000</v>
      </c>
      <c r="X23" s="12" t="s">
        <v>58</v>
      </c>
      <c r="Y23" s="12" t="s">
        <v>60</v>
      </c>
      <c r="Z23" s="12"/>
      <c r="AA23" s="15"/>
      <c r="AB23" s="15"/>
      <c r="AC23" s="15"/>
    </row>
    <row r="24" spans="1:29" ht="13.5" x14ac:dyDescent="0.25">
      <c r="A24" s="11">
        <v>46175</v>
      </c>
      <c r="B24" s="12" t="s">
        <v>57</v>
      </c>
      <c r="C24" s="13"/>
      <c r="D24" s="14">
        <v>3424</v>
      </c>
      <c r="E24" s="15"/>
      <c r="F24" s="12">
        <v>113</v>
      </c>
      <c r="G24" s="11">
        <v>46203</v>
      </c>
      <c r="H24" s="16">
        <v>0</v>
      </c>
      <c r="I24" s="12">
        <v>0</v>
      </c>
      <c r="J24" s="16">
        <v>0</v>
      </c>
      <c r="K24" s="16">
        <v>0</v>
      </c>
      <c r="L24" s="16">
        <v>5000000</v>
      </c>
      <c r="M24" s="12">
        <v>30</v>
      </c>
      <c r="N24" s="16">
        <v>39655.050000000003</v>
      </c>
      <c r="O24" s="16">
        <v>4960344.95</v>
      </c>
      <c r="P24" s="16"/>
      <c r="Q24" s="12"/>
      <c r="R24" s="16">
        <v>0</v>
      </c>
      <c r="S24" s="16">
        <v>0</v>
      </c>
      <c r="T24" s="16">
        <v>5000000</v>
      </c>
      <c r="U24" s="18">
        <v>10000000</v>
      </c>
      <c r="V24" s="16">
        <v>39655.050000000003</v>
      </c>
      <c r="W24" s="19">
        <v>9960344.9499999993</v>
      </c>
      <c r="X24" s="12" t="s">
        <v>58</v>
      </c>
      <c r="Y24" s="12" t="s">
        <v>59</v>
      </c>
      <c r="Z24" s="12"/>
      <c r="AA24" s="15"/>
      <c r="AB24" s="15"/>
      <c r="AC24" s="15"/>
    </row>
    <row r="25" spans="1:29" ht="13.5" x14ac:dyDescent="0.25">
      <c r="A25" s="11">
        <v>46175</v>
      </c>
      <c r="B25" s="12" t="s">
        <v>57</v>
      </c>
      <c r="C25" s="13"/>
      <c r="D25" s="14">
        <v>4165</v>
      </c>
      <c r="E25" s="15"/>
      <c r="F25" s="12">
        <v>113</v>
      </c>
      <c r="G25" s="11">
        <v>46203</v>
      </c>
      <c r="H25" s="16">
        <v>0</v>
      </c>
      <c r="I25" s="12">
        <v>0</v>
      </c>
      <c r="J25" s="16">
        <v>0</v>
      </c>
      <c r="K25" s="16">
        <v>0</v>
      </c>
      <c r="L25" s="16">
        <v>35000000</v>
      </c>
      <c r="M25" s="12">
        <v>30</v>
      </c>
      <c r="N25" s="16">
        <v>20989490.559999999</v>
      </c>
      <c r="O25" s="16">
        <v>14010509.440000001</v>
      </c>
      <c r="P25" s="16">
        <v>0</v>
      </c>
      <c r="Q25" s="12">
        <v>0</v>
      </c>
      <c r="R25" s="16">
        <v>0</v>
      </c>
      <c r="S25" s="16">
        <v>0</v>
      </c>
      <c r="T25" s="16"/>
      <c r="U25" s="18">
        <v>35000000</v>
      </c>
      <c r="V25" s="16">
        <v>20989490.559999999</v>
      </c>
      <c r="W25" s="19">
        <v>14010509.440000001</v>
      </c>
      <c r="X25" s="37" t="s">
        <v>58</v>
      </c>
      <c r="Y25" s="12" t="s">
        <v>59</v>
      </c>
      <c r="Z25" s="12"/>
      <c r="AA25" s="15"/>
      <c r="AB25" s="15"/>
      <c r="AC25" s="15"/>
    </row>
    <row r="26" spans="1:29" ht="13.5" x14ac:dyDescent="0.25">
      <c r="A26" s="11">
        <v>46175</v>
      </c>
      <c r="B26" s="12" t="s">
        <v>57</v>
      </c>
      <c r="C26" s="13"/>
      <c r="D26" s="14">
        <v>4204</v>
      </c>
      <c r="E26" s="15"/>
      <c r="F26" s="12">
        <v>117</v>
      </c>
      <c r="G26" s="11">
        <v>46234</v>
      </c>
      <c r="H26" s="16">
        <v>0</v>
      </c>
      <c r="I26" s="12">
        <v>0</v>
      </c>
      <c r="J26" s="16">
        <v>0</v>
      </c>
      <c r="K26" s="16">
        <v>0</v>
      </c>
      <c r="L26" s="16">
        <v>16000000</v>
      </c>
      <c r="M26" s="12">
        <v>90</v>
      </c>
      <c r="N26" s="16">
        <v>0</v>
      </c>
      <c r="O26" s="16">
        <v>16000000</v>
      </c>
      <c r="P26" s="16"/>
      <c r="Q26" s="12"/>
      <c r="R26" s="16">
        <v>0</v>
      </c>
      <c r="S26" s="16">
        <v>0</v>
      </c>
      <c r="T26" s="16"/>
      <c r="U26" s="18">
        <v>16000000</v>
      </c>
      <c r="V26" s="16">
        <v>0</v>
      </c>
      <c r="W26" s="19">
        <v>16000000</v>
      </c>
      <c r="X26" s="12" t="s">
        <v>62</v>
      </c>
      <c r="Y26" s="12" t="s">
        <v>64</v>
      </c>
      <c r="Z26" s="12" t="s">
        <v>33</v>
      </c>
      <c r="AA26" s="15"/>
      <c r="AB26" s="15"/>
      <c r="AC26" s="15"/>
    </row>
    <row r="27" spans="1:29" ht="13.5" x14ac:dyDescent="0.25">
      <c r="A27" s="11">
        <v>46175</v>
      </c>
      <c r="B27" s="12" t="s">
        <v>57</v>
      </c>
      <c r="C27" s="13"/>
      <c r="D27" s="14">
        <v>4353</v>
      </c>
      <c r="E27" s="15"/>
      <c r="F27" s="12">
        <v>117</v>
      </c>
      <c r="G27" s="11">
        <v>46234</v>
      </c>
      <c r="H27" s="16"/>
      <c r="I27" s="12"/>
      <c r="J27" s="16">
        <v>0</v>
      </c>
      <c r="K27" s="16">
        <v>0</v>
      </c>
      <c r="L27" s="16">
        <v>300000</v>
      </c>
      <c r="M27" s="12">
        <v>365</v>
      </c>
      <c r="N27" s="16">
        <v>0</v>
      </c>
      <c r="O27" s="16">
        <v>300000</v>
      </c>
      <c r="P27" s="16"/>
      <c r="Q27" s="12"/>
      <c r="R27" s="16">
        <v>0</v>
      </c>
      <c r="S27" s="16">
        <v>0</v>
      </c>
      <c r="T27" s="16"/>
      <c r="U27" s="18">
        <v>300000</v>
      </c>
      <c r="V27" s="16">
        <v>0</v>
      </c>
      <c r="W27" s="19">
        <v>300000</v>
      </c>
      <c r="X27" s="37" t="s">
        <v>62</v>
      </c>
      <c r="Y27" s="12" t="s">
        <v>63</v>
      </c>
      <c r="Z27" s="12"/>
      <c r="AA27" s="15"/>
      <c r="AB27" s="15"/>
      <c r="AC27" s="15"/>
    </row>
    <row r="28" spans="1:29" x14ac:dyDescent="0.25">
      <c r="A28" s="11">
        <v>46175</v>
      </c>
      <c r="B28" s="12" t="s">
        <v>57</v>
      </c>
      <c r="C28" s="13"/>
      <c r="D28" s="14">
        <v>4289</v>
      </c>
      <c r="E28" s="15"/>
      <c r="F28" s="12">
        <v>117</v>
      </c>
      <c r="G28" s="11">
        <v>46203</v>
      </c>
      <c r="H28" s="16"/>
      <c r="I28" s="11"/>
      <c r="J28" s="16">
        <v>0</v>
      </c>
      <c r="K28" s="16">
        <v>0</v>
      </c>
      <c r="L28" s="16">
        <v>1000000</v>
      </c>
      <c r="M28" s="12">
        <v>180</v>
      </c>
      <c r="N28" s="16">
        <v>34256.53</v>
      </c>
      <c r="O28" s="16">
        <v>965743.47</v>
      </c>
      <c r="P28" s="16"/>
      <c r="Q28" s="12"/>
      <c r="R28" s="16">
        <v>0</v>
      </c>
      <c r="S28" s="16">
        <v>0</v>
      </c>
      <c r="T28" s="16"/>
      <c r="U28" s="18">
        <v>1000000</v>
      </c>
      <c r="V28" s="16">
        <v>34256.53</v>
      </c>
      <c r="W28" s="19">
        <v>965743.47</v>
      </c>
      <c r="X28" s="37" t="s">
        <v>62</v>
      </c>
      <c r="Y28" s="12" t="s">
        <v>74</v>
      </c>
      <c r="Z28" s="12"/>
      <c r="AB28" s="15"/>
    </row>
    <row r="29" spans="1:29" x14ac:dyDescent="0.25">
      <c r="A29" s="11">
        <v>46175</v>
      </c>
      <c r="B29" s="12" t="s">
        <v>57</v>
      </c>
      <c r="C29" s="14"/>
      <c r="D29" s="14">
        <v>890903938</v>
      </c>
      <c r="E29" s="15"/>
      <c r="F29" s="12">
        <v>108</v>
      </c>
      <c r="G29" s="11">
        <v>46234</v>
      </c>
      <c r="H29" s="16">
        <v>0</v>
      </c>
      <c r="I29" s="12">
        <v>0</v>
      </c>
      <c r="J29" s="16">
        <v>0</v>
      </c>
      <c r="K29" s="16">
        <v>0</v>
      </c>
      <c r="L29" s="16">
        <v>0</v>
      </c>
      <c r="M29" s="12">
        <v>365</v>
      </c>
      <c r="N29" s="16">
        <v>0</v>
      </c>
      <c r="O29" s="16">
        <v>0</v>
      </c>
      <c r="P29" s="16">
        <v>2000000</v>
      </c>
      <c r="Q29" s="12">
        <v>365</v>
      </c>
      <c r="R29" s="16">
        <v>0</v>
      </c>
      <c r="S29" s="16">
        <v>2000000</v>
      </c>
      <c r="T29" s="16"/>
      <c r="U29" s="18">
        <v>2000000</v>
      </c>
      <c r="V29" s="16">
        <v>0</v>
      </c>
      <c r="W29" s="19">
        <v>2000000</v>
      </c>
      <c r="X29" s="12" t="s">
        <v>62</v>
      </c>
      <c r="Y29" s="12" t="s">
        <v>64</v>
      </c>
      <c r="Z29" s="12"/>
      <c r="AB29" s="15"/>
    </row>
    <row r="30" spans="1:29" x14ac:dyDescent="0.25">
      <c r="A30" s="11">
        <v>46175</v>
      </c>
      <c r="B30" s="12" t="s">
        <v>57</v>
      </c>
      <c r="C30" s="13"/>
      <c r="D30" s="14">
        <v>3475</v>
      </c>
      <c r="E30" s="15"/>
      <c r="F30" s="12">
        <v>117</v>
      </c>
      <c r="G30" s="11">
        <v>46234</v>
      </c>
      <c r="H30" s="16">
        <v>0</v>
      </c>
      <c r="I30" s="12">
        <v>0</v>
      </c>
      <c r="J30" s="16">
        <v>0</v>
      </c>
      <c r="K30" s="16">
        <v>0</v>
      </c>
      <c r="L30" s="16">
        <v>2000000</v>
      </c>
      <c r="M30" s="12">
        <v>365</v>
      </c>
      <c r="N30" s="16">
        <v>0</v>
      </c>
      <c r="O30" s="16">
        <v>2000000</v>
      </c>
      <c r="P30" s="16">
        <v>3000000</v>
      </c>
      <c r="Q30" s="12">
        <v>365</v>
      </c>
      <c r="R30" s="16">
        <v>0</v>
      </c>
      <c r="S30" s="16">
        <v>3000000</v>
      </c>
      <c r="T30" s="16"/>
      <c r="U30" s="18">
        <v>5000000</v>
      </c>
      <c r="V30" s="16">
        <v>0</v>
      </c>
      <c r="W30" s="19">
        <v>5000000</v>
      </c>
      <c r="X30" s="12" t="s">
        <v>62</v>
      </c>
      <c r="Y30" s="12" t="s">
        <v>64</v>
      </c>
      <c r="Z30" s="12"/>
      <c r="AB30" s="15"/>
    </row>
    <row r="31" spans="1:29" x14ac:dyDescent="0.25">
      <c r="A31" s="11">
        <v>46175</v>
      </c>
      <c r="B31" s="12" t="s">
        <v>57</v>
      </c>
      <c r="C31" s="13"/>
      <c r="D31" s="14">
        <v>21882091203</v>
      </c>
      <c r="E31" s="15"/>
      <c r="F31" s="12">
        <v>108</v>
      </c>
      <c r="G31" s="11">
        <v>46234</v>
      </c>
      <c r="H31" s="16">
        <v>0</v>
      </c>
      <c r="I31" s="12">
        <v>0</v>
      </c>
      <c r="J31" s="16">
        <v>0</v>
      </c>
      <c r="K31" s="16">
        <v>0</v>
      </c>
      <c r="L31" s="16">
        <v>10000000</v>
      </c>
      <c r="M31" s="12">
        <v>365</v>
      </c>
      <c r="N31" s="16">
        <v>0</v>
      </c>
      <c r="O31" s="16">
        <v>10000000</v>
      </c>
      <c r="P31" s="16">
        <v>3000000</v>
      </c>
      <c r="Q31" s="12">
        <v>365</v>
      </c>
      <c r="R31" s="16">
        <v>0</v>
      </c>
      <c r="S31" s="16">
        <v>3000000</v>
      </c>
      <c r="T31" s="16"/>
      <c r="U31" s="18">
        <v>13000000</v>
      </c>
      <c r="V31" s="16">
        <v>0</v>
      </c>
      <c r="W31" s="19">
        <v>13000000</v>
      </c>
      <c r="X31" s="12" t="s">
        <v>62</v>
      </c>
      <c r="Y31" s="12" t="s">
        <v>64</v>
      </c>
      <c r="Z31" s="12"/>
      <c r="AB31" s="15"/>
    </row>
    <row r="32" spans="1:29" x14ac:dyDescent="0.25">
      <c r="A32" s="11">
        <v>46175</v>
      </c>
      <c r="B32" s="12" t="s">
        <v>57</v>
      </c>
      <c r="C32" s="13"/>
      <c r="D32" s="14">
        <v>4201</v>
      </c>
      <c r="E32" s="15"/>
      <c r="F32" s="12">
        <v>117</v>
      </c>
      <c r="G32" s="11">
        <v>46234</v>
      </c>
      <c r="H32" s="16">
        <v>0</v>
      </c>
      <c r="I32" s="12">
        <v>0</v>
      </c>
      <c r="J32" s="16">
        <v>0</v>
      </c>
      <c r="K32" s="16">
        <v>0</v>
      </c>
      <c r="L32" s="16">
        <v>4000000</v>
      </c>
      <c r="M32" s="12">
        <v>365</v>
      </c>
      <c r="N32" s="16">
        <v>128542.58</v>
      </c>
      <c r="O32" s="16">
        <v>3871457.42</v>
      </c>
      <c r="P32" s="16">
        <v>5000000</v>
      </c>
      <c r="Q32" s="12">
        <v>365</v>
      </c>
      <c r="R32" s="16">
        <v>0</v>
      </c>
      <c r="S32" s="16">
        <v>5000000</v>
      </c>
      <c r="T32" s="16"/>
      <c r="U32" s="18">
        <v>9000000</v>
      </c>
      <c r="V32" s="16">
        <v>128542.58</v>
      </c>
      <c r="W32" s="19">
        <v>8871457.4199999999</v>
      </c>
      <c r="X32" s="12" t="s">
        <v>62</v>
      </c>
      <c r="Y32" s="12" t="s">
        <v>64</v>
      </c>
      <c r="Z32" s="12"/>
      <c r="AB32" s="15"/>
    </row>
    <row r="33" spans="1:28" x14ac:dyDescent="0.25">
      <c r="A33" s="11">
        <v>46175</v>
      </c>
      <c r="B33" s="12" t="s">
        <v>57</v>
      </c>
      <c r="C33" s="13"/>
      <c r="D33" s="14">
        <v>4261</v>
      </c>
      <c r="E33" s="15"/>
      <c r="F33" s="12">
        <v>117</v>
      </c>
      <c r="G33" s="11">
        <v>46418</v>
      </c>
      <c r="H33" s="16">
        <v>40000000</v>
      </c>
      <c r="I33" s="12">
        <v>390</v>
      </c>
      <c r="J33" s="16">
        <v>0</v>
      </c>
      <c r="K33" s="16">
        <v>40000000</v>
      </c>
      <c r="L33" s="16">
        <v>5000000</v>
      </c>
      <c r="M33" s="12">
        <v>90</v>
      </c>
      <c r="N33" s="16">
        <v>5000000</v>
      </c>
      <c r="O33" s="16">
        <v>0</v>
      </c>
      <c r="P33" s="16"/>
      <c r="Q33" s="12"/>
      <c r="R33" s="16">
        <v>0</v>
      </c>
      <c r="S33" s="16">
        <v>0</v>
      </c>
      <c r="T33" s="16"/>
      <c r="U33" s="18">
        <v>45000000</v>
      </c>
      <c r="V33" s="16">
        <v>5000000</v>
      </c>
      <c r="W33" s="19">
        <v>40000000</v>
      </c>
      <c r="X33" s="12" t="s">
        <v>62</v>
      </c>
      <c r="Y33" s="12" t="s">
        <v>69</v>
      </c>
      <c r="Z33" s="12" t="s">
        <v>47</v>
      </c>
      <c r="AB33" s="15"/>
    </row>
    <row r="34" spans="1:28" x14ac:dyDescent="0.25">
      <c r="A34" s="11">
        <v>46175</v>
      </c>
      <c r="B34" s="12" t="s">
        <v>57</v>
      </c>
      <c r="C34" s="13"/>
      <c r="D34" s="13">
        <v>224800045201</v>
      </c>
      <c r="E34" s="15"/>
      <c r="F34" s="12">
        <v>117</v>
      </c>
      <c r="G34" s="11">
        <v>46234</v>
      </c>
      <c r="H34" s="16"/>
      <c r="I34" s="12"/>
      <c r="J34" s="16">
        <v>0</v>
      </c>
      <c r="K34" s="16">
        <v>0</v>
      </c>
      <c r="L34" s="16">
        <v>1000000</v>
      </c>
      <c r="M34" s="12">
        <v>365</v>
      </c>
      <c r="N34" s="16">
        <v>0</v>
      </c>
      <c r="O34" s="16">
        <v>1000000</v>
      </c>
      <c r="P34" s="16"/>
      <c r="Q34" s="12"/>
      <c r="R34" s="16">
        <v>0</v>
      </c>
      <c r="S34" s="16">
        <v>0</v>
      </c>
      <c r="T34" s="16"/>
      <c r="U34" s="18">
        <v>1000000</v>
      </c>
      <c r="V34" s="16">
        <v>0</v>
      </c>
      <c r="W34" s="19">
        <v>1000000</v>
      </c>
      <c r="X34" s="37" t="s">
        <v>62</v>
      </c>
      <c r="Y34" s="12" t="s">
        <v>63</v>
      </c>
      <c r="Z34" s="12"/>
      <c r="AB34" s="15"/>
    </row>
    <row r="35" spans="1:28" x14ac:dyDescent="0.25">
      <c r="A35" s="11">
        <v>46175</v>
      </c>
      <c r="B35" s="12" t="s">
        <v>57</v>
      </c>
      <c r="C35" s="13"/>
      <c r="D35" s="14">
        <v>4278</v>
      </c>
      <c r="E35" s="15"/>
      <c r="F35" s="12">
        <v>120</v>
      </c>
      <c r="G35" s="11">
        <v>46507</v>
      </c>
      <c r="H35" s="16">
        <v>0</v>
      </c>
      <c r="I35" s="12">
        <v>0</v>
      </c>
      <c r="J35" s="16">
        <v>0</v>
      </c>
      <c r="K35" s="16">
        <v>0</v>
      </c>
      <c r="L35" s="16">
        <v>1000000</v>
      </c>
      <c r="M35" s="12">
        <v>390</v>
      </c>
      <c r="N35" s="16">
        <v>0</v>
      </c>
      <c r="O35" s="16">
        <v>1000000</v>
      </c>
      <c r="P35" s="16">
        <v>1000000</v>
      </c>
      <c r="Q35" s="12">
        <v>1800</v>
      </c>
      <c r="R35" s="16">
        <v>0</v>
      </c>
      <c r="S35" s="16">
        <v>1000000</v>
      </c>
      <c r="T35" s="16">
        <v>1000000</v>
      </c>
      <c r="U35" s="18">
        <v>3000000</v>
      </c>
      <c r="V35" s="16">
        <v>0</v>
      </c>
      <c r="W35" s="19">
        <v>3000000</v>
      </c>
      <c r="X35" s="12" t="s">
        <v>62</v>
      </c>
      <c r="Y35" s="12" t="s">
        <v>74</v>
      </c>
      <c r="Z35" s="12" t="s">
        <v>33</v>
      </c>
      <c r="AB35" s="15"/>
    </row>
    <row r="36" spans="1:28" x14ac:dyDescent="0.25">
      <c r="A36" s="11">
        <v>46175</v>
      </c>
      <c r="B36" s="12" t="s">
        <v>57</v>
      </c>
      <c r="C36" s="13"/>
      <c r="D36" s="14">
        <v>4358</v>
      </c>
      <c r="E36" s="15"/>
      <c r="F36" s="12">
        <v>111</v>
      </c>
      <c r="G36" s="11">
        <v>46203</v>
      </c>
      <c r="H36" s="16"/>
      <c r="I36" s="11"/>
      <c r="J36" s="16">
        <v>0</v>
      </c>
      <c r="K36" s="16">
        <v>0</v>
      </c>
      <c r="L36" s="16">
        <v>0</v>
      </c>
      <c r="M36" s="12"/>
      <c r="N36" s="16">
        <v>0</v>
      </c>
      <c r="O36" s="16">
        <v>0</v>
      </c>
      <c r="P36" s="16"/>
      <c r="Q36" s="12"/>
      <c r="R36" s="16">
        <v>0</v>
      </c>
      <c r="S36" s="16">
        <v>0</v>
      </c>
      <c r="T36" s="16">
        <v>10000000</v>
      </c>
      <c r="U36" s="18">
        <v>10000000</v>
      </c>
      <c r="V36" s="16">
        <v>0</v>
      </c>
      <c r="W36" s="19">
        <v>10000000</v>
      </c>
      <c r="X36" s="12" t="s">
        <v>58</v>
      </c>
      <c r="Y36" s="12" t="s">
        <v>70</v>
      </c>
      <c r="Z36" s="12"/>
      <c r="AB36" s="15"/>
    </row>
    <row r="37" spans="1:28" x14ac:dyDescent="0.25">
      <c r="A37" s="11">
        <v>46175</v>
      </c>
      <c r="B37" s="12" t="s">
        <v>57</v>
      </c>
      <c r="C37" s="13"/>
      <c r="D37" s="14">
        <v>860068182</v>
      </c>
      <c r="E37" s="15"/>
      <c r="F37" s="12">
        <v>108</v>
      </c>
      <c r="G37" s="11">
        <v>46507</v>
      </c>
      <c r="H37" s="16"/>
      <c r="I37" s="11"/>
      <c r="J37" s="16">
        <v>0</v>
      </c>
      <c r="K37" s="16">
        <v>0</v>
      </c>
      <c r="L37" s="16">
        <v>0</v>
      </c>
      <c r="M37" s="12"/>
      <c r="N37" s="16">
        <v>0</v>
      </c>
      <c r="O37" s="16">
        <v>0</v>
      </c>
      <c r="P37" s="16"/>
      <c r="Q37" s="12"/>
      <c r="R37" s="16">
        <v>0</v>
      </c>
      <c r="S37" s="16">
        <v>0</v>
      </c>
      <c r="T37" s="16">
        <v>4000000</v>
      </c>
      <c r="U37" s="18">
        <v>4000000</v>
      </c>
      <c r="V37" s="16">
        <v>0</v>
      </c>
      <c r="W37" s="19">
        <v>4000000</v>
      </c>
      <c r="X37" s="37" t="s">
        <v>62</v>
      </c>
      <c r="Y37" s="12" t="s">
        <v>71</v>
      </c>
      <c r="Z37" s="12"/>
    </row>
    <row r="38" spans="1:28" x14ac:dyDescent="0.25">
      <c r="A38" s="11">
        <v>46175</v>
      </c>
      <c r="B38" s="12" t="s">
        <v>57</v>
      </c>
      <c r="C38" s="13"/>
      <c r="D38" s="14">
        <v>900999445</v>
      </c>
      <c r="E38" s="15"/>
      <c r="F38" s="12">
        <v>108</v>
      </c>
      <c r="G38" s="11">
        <v>46418</v>
      </c>
      <c r="H38" s="16"/>
      <c r="I38" s="11"/>
      <c r="J38" s="16">
        <v>0</v>
      </c>
      <c r="K38" s="16">
        <v>0</v>
      </c>
      <c r="L38" s="16">
        <v>0</v>
      </c>
      <c r="M38" s="12"/>
      <c r="N38" s="16">
        <v>0</v>
      </c>
      <c r="O38" s="16">
        <v>0</v>
      </c>
      <c r="P38" s="16"/>
      <c r="Q38" s="12"/>
      <c r="R38" s="16">
        <v>0</v>
      </c>
      <c r="S38" s="16">
        <v>0</v>
      </c>
      <c r="T38" s="16">
        <v>1000000</v>
      </c>
      <c r="U38" s="18">
        <v>1000000</v>
      </c>
      <c r="V38" s="16">
        <v>0</v>
      </c>
      <c r="W38" s="19">
        <v>1000000</v>
      </c>
      <c r="X38" s="37" t="s">
        <v>62</v>
      </c>
      <c r="Y38" s="12" t="s">
        <v>77</v>
      </c>
      <c r="Z38" s="12"/>
    </row>
    <row r="39" spans="1:28" x14ac:dyDescent="0.25">
      <c r="A39" s="11">
        <v>46175</v>
      </c>
      <c r="B39" s="12" t="s">
        <v>1</v>
      </c>
      <c r="C39" s="13"/>
      <c r="D39" s="14">
        <v>4210</v>
      </c>
      <c r="E39" s="15"/>
      <c r="F39" s="12">
        <v>104</v>
      </c>
      <c r="G39" s="11">
        <v>46265</v>
      </c>
      <c r="H39" s="16"/>
      <c r="I39" s="11"/>
      <c r="J39" s="16">
        <v>0</v>
      </c>
      <c r="K39" s="16">
        <v>0</v>
      </c>
      <c r="L39" s="16">
        <v>30000000</v>
      </c>
      <c r="M39" s="12">
        <v>365</v>
      </c>
      <c r="N39" s="16">
        <v>0</v>
      </c>
      <c r="O39" s="16">
        <v>30000000</v>
      </c>
      <c r="P39" s="16"/>
      <c r="Q39" s="12"/>
      <c r="R39" s="16">
        <v>0</v>
      </c>
      <c r="S39" s="16">
        <v>0</v>
      </c>
      <c r="T39" s="16"/>
      <c r="U39" s="18">
        <v>30000000</v>
      </c>
      <c r="V39" s="16">
        <v>0</v>
      </c>
      <c r="W39" s="19">
        <v>30000000</v>
      </c>
      <c r="X39" s="37" t="s">
        <v>62</v>
      </c>
      <c r="Y39" s="12" t="s">
        <v>63</v>
      </c>
      <c r="Z39" s="12"/>
    </row>
    <row r="40" spans="1:28" x14ac:dyDescent="0.25">
      <c r="A40" s="11">
        <v>46175</v>
      </c>
      <c r="B40" s="12" t="s">
        <v>57</v>
      </c>
      <c r="C40" s="13"/>
      <c r="D40" s="14">
        <v>485</v>
      </c>
      <c r="E40" s="15"/>
      <c r="F40" s="12">
        <v>105</v>
      </c>
      <c r="G40" s="11">
        <v>46507</v>
      </c>
      <c r="H40" s="16"/>
      <c r="I40" s="11"/>
      <c r="J40" s="16">
        <v>0</v>
      </c>
      <c r="K40" s="16">
        <v>0</v>
      </c>
      <c r="L40" s="16">
        <v>83000000</v>
      </c>
      <c r="M40" s="12">
        <v>390</v>
      </c>
      <c r="N40" s="16">
        <v>18209757.010000002</v>
      </c>
      <c r="O40" s="16">
        <v>64790242.989999995</v>
      </c>
      <c r="P40" s="16"/>
      <c r="Q40" s="12"/>
      <c r="R40" s="16">
        <v>0</v>
      </c>
      <c r="S40" s="16">
        <v>0</v>
      </c>
      <c r="T40" s="16"/>
      <c r="U40" s="18">
        <v>83000000</v>
      </c>
      <c r="V40" s="16">
        <v>18209757.010000002</v>
      </c>
      <c r="W40" s="19">
        <v>64790242.989999995</v>
      </c>
      <c r="X40" s="37" t="s">
        <v>62</v>
      </c>
      <c r="Y40" s="12" t="s">
        <v>59</v>
      </c>
      <c r="Z40" s="12"/>
    </row>
    <row r="41" spans="1:28" x14ac:dyDescent="0.25">
      <c r="A41" s="11">
        <v>46175</v>
      </c>
      <c r="B41" s="12" t="s">
        <v>57</v>
      </c>
      <c r="C41" s="13"/>
      <c r="D41" s="13">
        <v>4397</v>
      </c>
      <c r="E41" s="15"/>
      <c r="F41" s="12">
        <v>117</v>
      </c>
      <c r="G41" s="11">
        <v>46538</v>
      </c>
      <c r="H41" s="16"/>
      <c r="I41" s="11"/>
      <c r="J41" s="16">
        <v>0</v>
      </c>
      <c r="K41" s="16">
        <v>0</v>
      </c>
      <c r="L41" s="16"/>
      <c r="M41" s="12"/>
      <c r="N41" s="16">
        <v>0</v>
      </c>
      <c r="O41" s="16">
        <v>0</v>
      </c>
      <c r="P41" s="16"/>
      <c r="Q41" s="12"/>
      <c r="R41" s="16">
        <v>0</v>
      </c>
      <c r="S41" s="16">
        <v>0</v>
      </c>
      <c r="T41" s="16">
        <v>3000000</v>
      </c>
      <c r="U41" s="18">
        <v>3000000</v>
      </c>
      <c r="V41" s="16">
        <v>0</v>
      </c>
      <c r="W41" s="19">
        <v>3000000</v>
      </c>
      <c r="X41" s="37" t="s">
        <v>62</v>
      </c>
      <c r="Y41" s="12" t="s">
        <v>78</v>
      </c>
      <c r="Z41" s="12"/>
    </row>
    <row r="42" spans="1:28" x14ac:dyDescent="0.25">
      <c r="A42" s="11">
        <v>46175</v>
      </c>
      <c r="B42" s="12" t="s">
        <v>57</v>
      </c>
      <c r="C42" s="13"/>
      <c r="D42" s="13">
        <v>4396</v>
      </c>
      <c r="E42" s="15"/>
      <c r="F42" s="12">
        <v>117</v>
      </c>
      <c r="G42" s="11">
        <v>46538</v>
      </c>
      <c r="H42" s="16"/>
      <c r="I42" s="11"/>
      <c r="J42" s="16">
        <v>0</v>
      </c>
      <c r="K42" s="16">
        <v>0</v>
      </c>
      <c r="L42" s="16"/>
      <c r="M42" s="12"/>
      <c r="N42" s="16">
        <v>0</v>
      </c>
      <c r="O42" s="16">
        <v>0</v>
      </c>
      <c r="P42" s="16"/>
      <c r="Q42" s="12"/>
      <c r="R42" s="16">
        <v>0</v>
      </c>
      <c r="S42" s="16">
        <v>0</v>
      </c>
      <c r="T42" s="16">
        <v>3000000</v>
      </c>
      <c r="U42" s="18">
        <v>3000000</v>
      </c>
      <c r="V42" s="16">
        <v>0</v>
      </c>
      <c r="W42" s="19">
        <v>3000000</v>
      </c>
      <c r="X42" s="37" t="s">
        <v>62</v>
      </c>
      <c r="Y42" s="12" t="s">
        <v>78</v>
      </c>
      <c r="Z42" s="12"/>
    </row>
    <row r="43" spans="1:28" x14ac:dyDescent="0.25">
      <c r="A43" s="11">
        <v>46175</v>
      </c>
      <c r="B43" s="12" t="s">
        <v>57</v>
      </c>
      <c r="C43" s="13"/>
      <c r="D43" s="14">
        <v>2997</v>
      </c>
      <c r="E43" s="15"/>
      <c r="F43" s="12">
        <v>113</v>
      </c>
      <c r="G43" s="11">
        <v>46538</v>
      </c>
      <c r="H43" s="16"/>
      <c r="I43" s="11"/>
      <c r="J43" s="16">
        <v>0</v>
      </c>
      <c r="K43" s="16">
        <v>0</v>
      </c>
      <c r="L43" s="16"/>
      <c r="M43" s="12"/>
      <c r="N43" s="16">
        <v>0</v>
      </c>
      <c r="O43" s="16">
        <v>0</v>
      </c>
      <c r="P43" s="16"/>
      <c r="Q43" s="12"/>
      <c r="R43" s="16">
        <v>0</v>
      </c>
      <c r="S43" s="16">
        <v>0</v>
      </c>
      <c r="T43" s="16">
        <v>3000000</v>
      </c>
      <c r="U43" s="18">
        <v>3000000</v>
      </c>
      <c r="V43" s="16">
        <v>0</v>
      </c>
      <c r="W43" s="19">
        <v>3000000</v>
      </c>
      <c r="X43" s="37" t="s">
        <v>58</v>
      </c>
      <c r="Y43" s="12" t="s">
        <v>59</v>
      </c>
      <c r="Z43" s="12"/>
    </row>
    <row r="44" spans="1:28" x14ac:dyDescent="0.25">
      <c r="A44" s="11">
        <v>46175</v>
      </c>
      <c r="B44" s="12" t="s">
        <v>57</v>
      </c>
      <c r="C44" s="13"/>
      <c r="D44" s="14">
        <v>4390</v>
      </c>
      <c r="E44" s="15"/>
      <c r="F44" s="12">
        <v>104</v>
      </c>
      <c r="G44" s="11">
        <v>46326</v>
      </c>
      <c r="H44" s="16"/>
      <c r="I44" s="11"/>
      <c r="J44" s="16">
        <v>0</v>
      </c>
      <c r="K44" s="16">
        <v>0</v>
      </c>
      <c r="L44" s="16">
        <v>30000000</v>
      </c>
      <c r="M44" s="12">
        <v>730</v>
      </c>
      <c r="N44" s="16">
        <v>0</v>
      </c>
      <c r="O44" s="16">
        <v>30000000</v>
      </c>
      <c r="P44" s="16"/>
      <c r="Q44" s="12"/>
      <c r="R44" s="16">
        <v>0</v>
      </c>
      <c r="S44" s="16">
        <v>0</v>
      </c>
      <c r="T44" s="16"/>
      <c r="U44" s="18">
        <v>30000000</v>
      </c>
      <c r="V44" s="16">
        <v>0</v>
      </c>
      <c r="W44" s="19">
        <v>30000000</v>
      </c>
      <c r="X44" s="37" t="s">
        <v>62</v>
      </c>
      <c r="Y44" s="12" t="s">
        <v>64</v>
      </c>
      <c r="Z44" s="12"/>
    </row>
    <row r="45" spans="1:28" x14ac:dyDescent="0.25">
      <c r="A45" s="11">
        <v>46175</v>
      </c>
      <c r="B45" s="12" t="s">
        <v>57</v>
      </c>
      <c r="C45" s="13"/>
      <c r="D45" s="14">
        <v>4393</v>
      </c>
      <c r="E45" s="15"/>
      <c r="F45" s="12">
        <v>104</v>
      </c>
      <c r="G45" s="11">
        <v>46387</v>
      </c>
      <c r="H45" s="16"/>
      <c r="I45" s="11"/>
      <c r="J45" s="16">
        <v>0</v>
      </c>
      <c r="K45" s="16">
        <v>0</v>
      </c>
      <c r="L45" s="16">
        <v>30000000</v>
      </c>
      <c r="M45" s="12">
        <v>730</v>
      </c>
      <c r="N45" s="16">
        <v>0</v>
      </c>
      <c r="O45" s="16">
        <v>30000000</v>
      </c>
      <c r="P45" s="16"/>
      <c r="Q45" s="12"/>
      <c r="R45" s="16">
        <v>0</v>
      </c>
      <c r="S45" s="16">
        <v>0</v>
      </c>
      <c r="T45" s="16"/>
      <c r="U45" s="18">
        <v>30000000</v>
      </c>
      <c r="V45" s="16">
        <v>0</v>
      </c>
      <c r="W45" s="19">
        <v>30000000</v>
      </c>
      <c r="X45" s="37" t="s">
        <v>62</v>
      </c>
      <c r="Y45" s="12" t="s">
        <v>79</v>
      </c>
      <c r="Z45" s="12"/>
    </row>
    <row r="46" spans="1:28" x14ac:dyDescent="0.25">
      <c r="A46" s="11">
        <v>46175</v>
      </c>
      <c r="B46" s="12" t="s">
        <v>57</v>
      </c>
      <c r="C46" s="13"/>
      <c r="D46" s="14">
        <v>4391</v>
      </c>
      <c r="E46" s="15"/>
      <c r="F46" s="12">
        <v>104</v>
      </c>
      <c r="G46" s="11">
        <v>46203</v>
      </c>
      <c r="H46" s="16"/>
      <c r="I46" s="11"/>
      <c r="J46" s="16">
        <v>0</v>
      </c>
      <c r="K46" s="16">
        <v>0</v>
      </c>
      <c r="L46" s="16">
        <v>30000000</v>
      </c>
      <c r="M46" s="12">
        <v>730</v>
      </c>
      <c r="N46" s="16">
        <v>0</v>
      </c>
      <c r="O46" s="16">
        <v>30000000</v>
      </c>
      <c r="P46" s="16"/>
      <c r="Q46" s="12"/>
      <c r="R46" s="16">
        <v>0</v>
      </c>
      <c r="S46" s="16">
        <v>0</v>
      </c>
      <c r="T46" s="16"/>
      <c r="U46" s="18">
        <v>30000000</v>
      </c>
      <c r="V46" s="16">
        <v>0</v>
      </c>
      <c r="W46" s="19">
        <v>30000000</v>
      </c>
      <c r="X46" s="37" t="s">
        <v>62</v>
      </c>
      <c r="Y46" s="12" t="s">
        <v>64</v>
      </c>
      <c r="Z46" s="12"/>
    </row>
    <row r="47" spans="1:28" x14ac:dyDescent="0.25">
      <c r="A47" s="11">
        <v>46175</v>
      </c>
      <c r="B47" s="12" t="s">
        <v>57</v>
      </c>
      <c r="C47" s="13"/>
      <c r="D47" s="14">
        <v>4388</v>
      </c>
      <c r="E47" s="15"/>
      <c r="F47" s="12">
        <v>104</v>
      </c>
      <c r="G47" s="11">
        <v>46203</v>
      </c>
      <c r="H47" s="16"/>
      <c r="I47" s="11"/>
      <c r="J47" s="16">
        <v>0</v>
      </c>
      <c r="K47" s="16">
        <v>0</v>
      </c>
      <c r="L47" s="16">
        <v>30000000</v>
      </c>
      <c r="M47" s="12">
        <v>730</v>
      </c>
      <c r="N47" s="16">
        <v>0</v>
      </c>
      <c r="O47" s="16">
        <v>30000000</v>
      </c>
      <c r="P47" s="16"/>
      <c r="Q47" s="12"/>
      <c r="R47" s="16">
        <v>0</v>
      </c>
      <c r="S47" s="16">
        <v>0</v>
      </c>
      <c r="T47" s="16"/>
      <c r="U47" s="18">
        <v>30000000</v>
      </c>
      <c r="V47" s="16">
        <v>0</v>
      </c>
      <c r="W47" s="19">
        <v>30000000</v>
      </c>
      <c r="X47" s="37" t="s">
        <v>62</v>
      </c>
      <c r="Y47" s="12" t="s">
        <v>63</v>
      </c>
      <c r="Z47" s="12"/>
    </row>
    <row r="48" spans="1:28" x14ac:dyDescent="0.25">
      <c r="C48" s="29"/>
      <c r="D48"/>
      <c r="E48"/>
      <c r="F48" s="15"/>
    </row>
    <row r="49" spans="3:6" x14ac:dyDescent="0.25">
      <c r="C49" s="29"/>
      <c r="D49"/>
      <c r="E49"/>
      <c r="F49" s="15"/>
    </row>
    <row r="50" spans="3:6" x14ac:dyDescent="0.25">
      <c r="C50" s="29"/>
      <c r="D50"/>
      <c r="E50"/>
      <c r="F50" s="15"/>
    </row>
    <row r="51" spans="3:6" x14ac:dyDescent="0.25">
      <c r="C51" s="29"/>
      <c r="D51"/>
      <c r="E51"/>
      <c r="F51" s="15"/>
    </row>
    <row r="52" spans="3:6" x14ac:dyDescent="0.25">
      <c r="C52" s="29"/>
      <c r="D52"/>
      <c r="E52"/>
      <c r="F52" s="15"/>
    </row>
    <row r="53" spans="3:6" x14ac:dyDescent="0.25">
      <c r="C53" s="29"/>
      <c r="D53"/>
      <c r="E53"/>
      <c r="F53" s="15"/>
    </row>
    <row r="54" spans="3:6" x14ac:dyDescent="0.25">
      <c r="C54" s="29"/>
      <c r="D54"/>
      <c r="E54"/>
      <c r="F54" s="15"/>
    </row>
    <row r="55" spans="3:6" x14ac:dyDescent="0.25">
      <c r="C55" s="29"/>
      <c r="D55"/>
      <c r="E55"/>
      <c r="F55" s="38"/>
    </row>
    <row r="56" spans="3:6" x14ac:dyDescent="0.25">
      <c r="C56" s="29"/>
      <c r="D56"/>
      <c r="E56"/>
      <c r="F56" s="15"/>
    </row>
    <row r="57" spans="3:6" x14ac:dyDescent="0.25">
      <c r="C57" s="29"/>
      <c r="D57"/>
      <c r="E57"/>
      <c r="F57" s="15"/>
    </row>
    <row r="58" spans="3:6" x14ac:dyDescent="0.25">
      <c r="C58" s="29"/>
      <c r="D58"/>
      <c r="E58"/>
      <c r="F58" s="15"/>
    </row>
    <row r="59" spans="3:6" x14ac:dyDescent="0.25">
      <c r="C59" s="29"/>
      <c r="D59"/>
      <c r="E59"/>
      <c r="F59" s="15"/>
    </row>
    <row r="60" spans="3:6" x14ac:dyDescent="0.25">
      <c r="C60" s="29"/>
      <c r="D60"/>
      <c r="E60"/>
      <c r="F60" s="15"/>
    </row>
    <row r="61" spans="3:6" x14ac:dyDescent="0.25">
      <c r="C61" s="29"/>
      <c r="D61"/>
      <c r="E61"/>
      <c r="F61" s="15"/>
    </row>
    <row r="62" spans="3:6" x14ac:dyDescent="0.25">
      <c r="C62" s="29"/>
      <c r="D62"/>
      <c r="E62"/>
      <c r="F62" s="15"/>
    </row>
    <row r="63" spans="3:6" x14ac:dyDescent="0.25">
      <c r="C63" s="29"/>
      <c r="D63"/>
      <c r="E63"/>
      <c r="F63" s="15"/>
    </row>
    <row r="64" spans="3:6" x14ac:dyDescent="0.25">
      <c r="C64" s="29"/>
      <c r="D64"/>
      <c r="E64"/>
      <c r="F64" s="15"/>
    </row>
    <row r="65" spans="3:6" x14ac:dyDescent="0.25">
      <c r="C65" s="29"/>
      <c r="D65"/>
      <c r="E65"/>
      <c r="F65" s="15"/>
    </row>
    <row r="66" spans="3:6" x14ac:dyDescent="0.25">
      <c r="C66" s="29"/>
      <c r="D66"/>
      <c r="E66"/>
      <c r="F66" s="15"/>
    </row>
    <row r="67" spans="3:6" x14ac:dyDescent="0.25">
      <c r="C67" s="29"/>
      <c r="D67"/>
      <c r="E67"/>
      <c r="F67" s="15"/>
    </row>
    <row r="68" spans="3:6" x14ac:dyDescent="0.25">
      <c r="C68" s="29"/>
      <c r="D68"/>
      <c r="E68"/>
      <c r="F68" s="15"/>
    </row>
    <row r="69" spans="3:6" x14ac:dyDescent="0.25">
      <c r="C69" s="29"/>
      <c r="D69"/>
      <c r="E69"/>
      <c r="F69" s="15"/>
    </row>
    <row r="70" spans="3:6" x14ac:dyDescent="0.25">
      <c r="C70" s="29"/>
      <c r="D70"/>
      <c r="E70"/>
      <c r="F70" s="15"/>
    </row>
    <row r="71" spans="3:6" x14ac:dyDescent="0.25">
      <c r="C71" s="29"/>
      <c r="D71"/>
      <c r="E71"/>
      <c r="F71" s="15"/>
    </row>
    <row r="72" spans="3:6" x14ac:dyDescent="0.25">
      <c r="C72" s="29"/>
      <c r="D72"/>
      <c r="E72"/>
      <c r="F72" s="15"/>
    </row>
    <row r="73" spans="3:6" x14ac:dyDescent="0.25">
      <c r="C73" s="29"/>
      <c r="D73"/>
      <c r="E73"/>
      <c r="F73" s="15"/>
    </row>
    <row r="74" spans="3:6" x14ac:dyDescent="0.25">
      <c r="C74" s="29"/>
      <c r="D74"/>
      <c r="E74"/>
      <c r="F74" s="15"/>
    </row>
    <row r="75" spans="3:6" x14ac:dyDescent="0.25">
      <c r="C75" s="29"/>
      <c r="D75"/>
      <c r="E75"/>
      <c r="F75" s="15"/>
    </row>
    <row r="76" spans="3:6" x14ac:dyDescent="0.25">
      <c r="C76" s="29"/>
      <c r="D76"/>
      <c r="E76"/>
      <c r="F76" s="15"/>
    </row>
    <row r="77" spans="3:6" x14ac:dyDescent="0.25">
      <c r="C77" s="29"/>
      <c r="D77"/>
      <c r="E77"/>
      <c r="F77" s="15"/>
    </row>
    <row r="78" spans="3:6" x14ac:dyDescent="0.25">
      <c r="C78" s="29"/>
      <c r="D78"/>
      <c r="E78"/>
      <c r="F78" s="15"/>
    </row>
    <row r="79" spans="3:6" x14ac:dyDescent="0.25">
      <c r="C79" s="29"/>
      <c r="D79"/>
      <c r="E79"/>
      <c r="F79" s="15"/>
    </row>
    <row r="80" spans="3:6" x14ac:dyDescent="0.25">
      <c r="C80" s="29"/>
      <c r="D80"/>
      <c r="E80"/>
      <c r="F80" s="15"/>
    </row>
    <row r="81" spans="3:6" x14ac:dyDescent="0.25">
      <c r="C81" s="29"/>
      <c r="D81"/>
      <c r="E81"/>
      <c r="F81" s="15"/>
    </row>
    <row r="82" spans="3:6" x14ac:dyDescent="0.25">
      <c r="C82" s="29"/>
      <c r="D82"/>
      <c r="E82"/>
      <c r="F82" s="15"/>
    </row>
    <row r="83" spans="3:6" x14ac:dyDescent="0.25">
      <c r="C83" s="29"/>
      <c r="D83"/>
      <c r="E83"/>
      <c r="F83" s="15"/>
    </row>
    <row r="84" spans="3:6" x14ac:dyDescent="0.25">
      <c r="C84" s="29"/>
      <c r="D84"/>
      <c r="E84"/>
      <c r="F84" s="15"/>
    </row>
    <row r="85" spans="3:6" x14ac:dyDescent="0.25">
      <c r="C85" s="29"/>
      <c r="D85"/>
      <c r="E85"/>
      <c r="F85" s="15"/>
    </row>
    <row r="86" spans="3:6" x14ac:dyDescent="0.25">
      <c r="C86" s="29"/>
      <c r="D86"/>
      <c r="E86"/>
      <c r="F86" s="15"/>
    </row>
    <row r="87" spans="3:6" x14ac:dyDescent="0.25">
      <c r="C87" s="29"/>
      <c r="D87"/>
      <c r="E87"/>
      <c r="F87" s="15"/>
    </row>
    <row r="88" spans="3:6" x14ac:dyDescent="0.25">
      <c r="C88" s="29"/>
      <c r="D88"/>
      <c r="E88"/>
      <c r="F88" s="15"/>
    </row>
    <row r="89" spans="3:6" x14ac:dyDescent="0.25">
      <c r="C89" s="29"/>
      <c r="D89"/>
      <c r="E89"/>
      <c r="F89" s="15"/>
    </row>
    <row r="90" spans="3:6" x14ac:dyDescent="0.25">
      <c r="C90" s="29"/>
      <c r="D90"/>
      <c r="E90"/>
      <c r="F90" s="15"/>
    </row>
    <row r="91" spans="3:6" x14ac:dyDescent="0.25">
      <c r="C91" s="29"/>
      <c r="D91"/>
      <c r="E91"/>
      <c r="F91" s="15"/>
    </row>
    <row r="92" spans="3:6" x14ac:dyDescent="0.25">
      <c r="C92" s="29"/>
      <c r="D92"/>
      <c r="E92"/>
      <c r="F92" s="15"/>
    </row>
    <row r="93" spans="3:6" x14ac:dyDescent="0.25">
      <c r="C93" s="29"/>
      <c r="D93"/>
      <c r="E93"/>
      <c r="F93" s="15"/>
    </row>
    <row r="94" spans="3:6" x14ac:dyDescent="0.25">
      <c r="C94" s="29"/>
      <c r="D94"/>
      <c r="E94"/>
      <c r="F94" s="15"/>
    </row>
    <row r="95" spans="3:6" x14ac:dyDescent="0.25">
      <c r="C95" s="29"/>
      <c r="D95"/>
      <c r="E95"/>
      <c r="F95" s="15"/>
    </row>
    <row r="96" spans="3:6" x14ac:dyDescent="0.25">
      <c r="C96" s="29"/>
      <c r="D96"/>
      <c r="E96"/>
      <c r="F96" s="15"/>
    </row>
    <row r="97" spans="3:6" x14ac:dyDescent="0.25">
      <c r="C97" s="29"/>
      <c r="D97"/>
      <c r="E97"/>
      <c r="F97" s="15"/>
    </row>
    <row r="98" spans="3:6" x14ac:dyDescent="0.25">
      <c r="C98" s="29"/>
      <c r="D98"/>
      <c r="E98"/>
      <c r="F98" s="15"/>
    </row>
    <row r="99" spans="3:6" x14ac:dyDescent="0.25">
      <c r="C99" s="29"/>
      <c r="D99"/>
      <c r="E99"/>
      <c r="F99" s="15"/>
    </row>
    <row r="100" spans="3:6" x14ac:dyDescent="0.25">
      <c r="C100" s="29"/>
      <c r="D100"/>
      <c r="E100"/>
      <c r="F100" s="15"/>
    </row>
    <row r="101" spans="3:6" x14ac:dyDescent="0.25">
      <c r="C101" s="29"/>
      <c r="D101"/>
      <c r="E101"/>
      <c r="F101" s="15"/>
    </row>
    <row r="102" spans="3:6" x14ac:dyDescent="0.25">
      <c r="C102" s="29"/>
      <c r="D102"/>
      <c r="E102"/>
      <c r="F102" s="15"/>
    </row>
    <row r="103" spans="3:6" x14ac:dyDescent="0.25">
      <c r="C103" s="29"/>
      <c r="D103"/>
      <c r="E103"/>
      <c r="F103" s="15"/>
    </row>
    <row r="104" spans="3:6" x14ac:dyDescent="0.25">
      <c r="C104" s="29"/>
      <c r="D104"/>
      <c r="E104"/>
      <c r="F104" s="15"/>
    </row>
    <row r="105" spans="3:6" x14ac:dyDescent="0.25">
      <c r="C105" s="29"/>
      <c r="D105"/>
      <c r="E105"/>
      <c r="F105" s="15"/>
    </row>
    <row r="106" spans="3:6" x14ac:dyDescent="0.25">
      <c r="C106" s="29"/>
      <c r="D106"/>
      <c r="E106"/>
      <c r="F106" s="15"/>
    </row>
    <row r="107" spans="3:6" x14ac:dyDescent="0.25">
      <c r="C107" s="29"/>
      <c r="D107"/>
      <c r="E107"/>
      <c r="F107" s="15"/>
    </row>
    <row r="108" spans="3:6" x14ac:dyDescent="0.25">
      <c r="C108" s="29"/>
      <c r="D108"/>
      <c r="E108"/>
      <c r="F108" s="15"/>
    </row>
    <row r="109" spans="3:6" x14ac:dyDescent="0.25">
      <c r="C109" s="29"/>
      <c r="D109"/>
      <c r="E109"/>
      <c r="F109" s="15"/>
    </row>
    <row r="110" spans="3:6" x14ac:dyDescent="0.25">
      <c r="C110" s="29"/>
      <c r="D110"/>
      <c r="E110"/>
      <c r="F110" s="15"/>
    </row>
    <row r="111" spans="3:6" x14ac:dyDescent="0.25">
      <c r="C111" s="29"/>
      <c r="D111"/>
      <c r="E111"/>
      <c r="F111" s="15"/>
    </row>
    <row r="112" spans="3:6" x14ac:dyDescent="0.25">
      <c r="C112" s="29"/>
      <c r="D112"/>
      <c r="E112"/>
      <c r="F112" s="15"/>
    </row>
    <row r="113" spans="3:6" x14ac:dyDescent="0.25">
      <c r="C113" s="29"/>
      <c r="D113"/>
      <c r="E113"/>
      <c r="F113" s="15"/>
    </row>
    <row r="114" spans="3:6" x14ac:dyDescent="0.25">
      <c r="C114" s="29"/>
      <c r="D114"/>
      <c r="E114"/>
      <c r="F114" s="15"/>
    </row>
    <row r="115" spans="3:6" x14ac:dyDescent="0.25">
      <c r="C115" s="29"/>
      <c r="D115"/>
      <c r="E115"/>
      <c r="F115" s="15"/>
    </row>
    <row r="116" spans="3:6" x14ac:dyDescent="0.25">
      <c r="C116" s="29"/>
      <c r="D116"/>
      <c r="E116"/>
      <c r="F116" s="15"/>
    </row>
    <row r="117" spans="3:6" x14ac:dyDescent="0.25">
      <c r="C117" s="29"/>
      <c r="D117"/>
      <c r="E117"/>
      <c r="F117" s="15"/>
    </row>
    <row r="118" spans="3:6" x14ac:dyDescent="0.25">
      <c r="C118" s="29"/>
      <c r="D118"/>
      <c r="E118"/>
      <c r="F118" s="15"/>
    </row>
    <row r="119" spans="3:6" x14ac:dyDescent="0.25">
      <c r="C119" s="29"/>
      <c r="D119"/>
      <c r="E119"/>
      <c r="F119" s="15"/>
    </row>
    <row r="120" spans="3:6" x14ac:dyDescent="0.25">
      <c r="C120" s="29"/>
      <c r="D120"/>
      <c r="E120"/>
      <c r="F120" s="15"/>
    </row>
    <row r="121" spans="3:6" x14ac:dyDescent="0.25">
      <c r="C121" s="29"/>
      <c r="D121"/>
      <c r="E121"/>
      <c r="F121" s="15"/>
    </row>
    <row r="122" spans="3:6" x14ac:dyDescent="0.25">
      <c r="C122" s="29"/>
      <c r="D122"/>
      <c r="E122"/>
      <c r="F122" s="15"/>
    </row>
    <row r="123" spans="3:6" x14ac:dyDescent="0.25">
      <c r="C123" s="29"/>
      <c r="D123"/>
      <c r="E123"/>
      <c r="F123" s="15"/>
    </row>
    <row r="124" spans="3:6" x14ac:dyDescent="0.25">
      <c r="C124" s="29"/>
      <c r="D124"/>
      <c r="E124"/>
      <c r="F124" s="15"/>
    </row>
    <row r="125" spans="3:6" x14ac:dyDescent="0.25">
      <c r="C125" s="29"/>
      <c r="D125"/>
      <c r="E125"/>
      <c r="F125" s="15"/>
    </row>
    <row r="126" spans="3:6" x14ac:dyDescent="0.25">
      <c r="C126" s="29"/>
      <c r="D126"/>
      <c r="E126"/>
      <c r="F126" s="15"/>
    </row>
    <row r="127" spans="3:6" x14ac:dyDescent="0.25">
      <c r="C127" s="29"/>
      <c r="D127"/>
      <c r="E127"/>
      <c r="F127" s="15"/>
    </row>
    <row r="128" spans="3:6" x14ac:dyDescent="0.25">
      <c r="C128" s="29"/>
      <c r="D128"/>
      <c r="E128"/>
      <c r="F128" s="15"/>
    </row>
    <row r="129" spans="3:6" x14ac:dyDescent="0.25">
      <c r="C129" s="29"/>
      <c r="D129"/>
      <c r="E129"/>
      <c r="F129" s="15"/>
    </row>
    <row r="130" spans="3:6" x14ac:dyDescent="0.25">
      <c r="C130" s="29"/>
      <c r="D130"/>
      <c r="E130"/>
      <c r="F130" s="15"/>
    </row>
    <row r="131" spans="3:6" x14ac:dyDescent="0.25">
      <c r="C131" s="29"/>
      <c r="D131"/>
      <c r="E131"/>
      <c r="F131" s="15"/>
    </row>
    <row r="132" spans="3:6" x14ac:dyDescent="0.25">
      <c r="C132" s="29"/>
      <c r="D132"/>
      <c r="E132"/>
      <c r="F132" s="15"/>
    </row>
    <row r="133" spans="3:6" x14ac:dyDescent="0.25">
      <c r="C133" s="29"/>
      <c r="D133"/>
      <c r="E133"/>
      <c r="F133" s="15"/>
    </row>
    <row r="134" spans="3:6" x14ac:dyDescent="0.25">
      <c r="C134" s="29"/>
      <c r="D134"/>
      <c r="E134"/>
      <c r="F134" s="15"/>
    </row>
    <row r="135" spans="3:6" x14ac:dyDescent="0.25">
      <c r="C135" s="29"/>
      <c r="D135"/>
      <c r="E135"/>
      <c r="F135" s="15"/>
    </row>
    <row r="136" spans="3:6" x14ac:dyDescent="0.25">
      <c r="C136" s="29"/>
      <c r="D136"/>
      <c r="E136"/>
      <c r="F136" s="15"/>
    </row>
    <row r="137" spans="3:6" x14ac:dyDescent="0.25">
      <c r="C137" s="29"/>
      <c r="D137"/>
      <c r="E137"/>
      <c r="F137" s="15"/>
    </row>
    <row r="138" spans="3:6" x14ac:dyDescent="0.25">
      <c r="C138" s="29"/>
      <c r="D138"/>
      <c r="E138"/>
      <c r="F138" s="15"/>
    </row>
  </sheetData>
  <conditionalFormatting sqref="G2:G47">
    <cfRule type="expression" dxfId="2" priority="1">
      <formula>($G2-$A2)&lt;0</formula>
    </cfRule>
    <cfRule type="expression" dxfId="1" priority="2">
      <formula>($G2-$A2)&lt;30</formula>
    </cfRule>
  </conditionalFormatting>
  <conditionalFormatting sqref="K1:K1048576 O1:O1048576 S1:S1048576 W1:W1048576">
    <cfRule type="cellIs" dxfId="0" priority="25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Consumo Bcos Colombia</vt:lpstr>
      <vt:lpstr>Consumo Bcos Panamá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Alejandro Quimbayo Cely</dc:creator>
  <cp:lastModifiedBy>Margarita Maria Calle Mena</cp:lastModifiedBy>
  <dcterms:created xsi:type="dcterms:W3CDTF">2026-06-03T16:11:03Z</dcterms:created>
  <dcterms:modified xsi:type="dcterms:W3CDTF">2026-06-10T20:11:35Z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{1463B8F9-0DE8-4C2A-88CC-265A011B818B}</vt:lpwstr>
  </property>
  <property fmtid="{D5CDD505-2E9C-101B-9397-08002B2CF9AE}" pid="3" name="DLPManualFileClassificationLastModifiedBy">
    <vt:lpwstr>ITAUCO\NMC05533</vt:lpwstr>
  </property>
  <property fmtid="{D5CDD505-2E9C-101B-9397-08002B2CF9AE}" pid="4" name="DLPManualFileClassificationLastModificationDate">
    <vt:lpwstr>1780577846</vt:lpwstr>
  </property>
  <property fmtid="{D5CDD505-2E9C-101B-9397-08002B2CF9AE}" pid="5" name="DLPManualFileClassificationVersion">
    <vt:lpwstr>11.12.1.21</vt:lpwstr>
  </property>
</Properties>
</file>